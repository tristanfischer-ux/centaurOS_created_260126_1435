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Economics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£#,##0.00"/>
    <numFmt numFmtId="166" formatCode="£#,##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</font>
    <font>
      <b val="1"/>
      <color rgb="001F4E79"/>
      <sz val="11"/>
    </font>
    <font>
      <i val="1"/>
      <color rgb="001F4E79"/>
    </font>
    <font>
      <b val="1"/>
      <i val="1"/>
      <color rgb="001F4E79"/>
    </font>
    <font>
      <b val="1"/>
      <i val="1"/>
      <color rgb="00E651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164" fontId="0" fillId="3" borderId="1" pivotButton="0" quotePrefix="0" xfId="0"/>
    <xf numFmtId="3" fontId="0" fillId="3" borderId="1" pivotButton="0" quotePrefix="0" xfId="0"/>
    <xf numFmtId="2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0" fontId="2" fillId="0" borderId="0" pivotButton="0" quotePrefix="0" xfId="0"/>
    <xf numFmtId="166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3" fontId="4" fillId="5" borderId="1" pivotButton="0" quotePrefix="0" xfId="0"/>
    <xf numFmtId="166" fontId="4" fillId="5" borderId="1" pivotButton="0" quotePrefix="0" xfId="0"/>
    <xf numFmtId="0" fontId="5" fillId="0" borderId="0" pivotButton="0" quotePrefix="0" xfId="0"/>
    <xf numFmtId="166" fontId="0" fillId="0" borderId="0" pivotButton="0" quotePrefix="0" xfId="0"/>
    <xf numFmtId="166" fontId="4" fillId="5" borderId="0" pivotButton="0" quotePrefix="0" xfId="0"/>
    <xf numFmtId="164" fontId="4" fillId="5" borderId="0" pivotButton="0" quotePrefix="0" xfId="0"/>
    <xf numFmtId="9" fontId="4" fillId="5" borderId="0" pivotButton="0" quotePrefix="0" xfId="0"/>
    <xf numFmtId="3" fontId="0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0" fontId="3" fillId="4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Poultry plant-room — assumptions (edit yellow)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40" customHeight="1">
      <c r="A2" s="3" t="inlineStr">
        <is>
          <t>A broiler house ≈330 MWh/yr heat. Compute sits in an external plant room (like your biomass boiler), feeds the wet loop; the existing boiler peaks, a dry-cooler dumps excess. Big roof → solar.</t>
        </is>
      </c>
    </row>
    <row r="4">
      <c r="A4" t="inlineStr">
        <is>
          <t>House heat demand (MWh/yr)</t>
        </is>
      </c>
      <c r="B4" s="4" t="n">
        <v>330</v>
      </c>
    </row>
    <row r="5">
      <c r="A5" t="inlineStr">
        <is>
          <t>Compute boxes (£100k ≈ 6)</t>
        </is>
      </c>
      <c r="B5" s="5" t="n">
        <v>6</v>
      </c>
    </row>
    <row r="6">
      <c r="A6" t="inlineStr">
        <is>
          <t>kW per box</t>
        </is>
      </c>
      <c r="B6" s="6" t="n">
        <v>2.7</v>
      </c>
    </row>
    <row r="7">
      <c r="A7" t="inlineStr">
        <is>
          <t>Utilisation (compute earning)</t>
        </is>
      </c>
      <c r="B7" s="7" t="n">
        <v>0.8</v>
      </c>
    </row>
    <row r="8">
      <c r="A8" t="inlineStr">
        <is>
          <t>GPUs per box</t>
        </is>
      </c>
      <c r="B8" s="5" t="n">
        <v>6</v>
      </c>
    </row>
    <row r="9">
      <c r="A9" t="inlineStr">
        <is>
          <t>Host £/hr per GPU</t>
        </is>
      </c>
      <c r="B9" s="8" t="n">
        <v>0.252</v>
      </c>
    </row>
    <row r="10">
      <c r="A10" t="inlineStr">
        <is>
          <t>Roof solar (kWp) — sized to compute</t>
        </is>
      </c>
      <c r="B10" s="5" t="n">
        <v>40</v>
      </c>
      <c r="C10" s="9" t="inlineStr">
        <is>
          <t>roof can hold ~300 kWp — rest powers the farm/exports</t>
        </is>
      </c>
    </row>
    <row r="11">
      <c r="A11" t="inlineStr">
        <is>
          <t>Displaced fuel price (p/kWh)</t>
        </is>
      </c>
      <c r="B11" s="4" t="n">
        <v>12</v>
      </c>
      <c r="C11" s="9" t="inlineStr">
        <is>
          <t>LPG ~12 · oil ~8.5 · biomass ~5 · electric ~25</t>
        </is>
      </c>
    </row>
    <row r="12">
      <c r="A12" t="inlineStr">
        <is>
          <t>Heat discount you give (charge this × fuel)</t>
        </is>
      </c>
      <c r="B12" s="7" t="n">
        <v>0.5</v>
      </c>
    </row>
    <row r="13">
      <c r="A13" t="inlineStr">
        <is>
          <t>Grid day/peak (p/kWh)</t>
        </is>
      </c>
      <c r="B13" s="4" t="n">
        <v>25</v>
      </c>
    </row>
    <row r="14">
      <c r="A14" t="inlineStr">
        <is>
          <t>Grid night/off-peak (p/kWh)</t>
        </is>
      </c>
      <c r="B14" s="4" t="n">
        <v>13</v>
      </c>
    </row>
    <row r="15">
      <c r="A15" t="inlineStr">
        <is>
          <t>Solar LCOE (p/kWh)</t>
        </is>
      </c>
      <c r="B15" s="4" t="n">
        <v>4</v>
      </c>
    </row>
    <row r="16">
      <c r="A16" t="inlineStr">
        <is>
          <t>Heat-use loss (cleanout gaps)</t>
        </is>
      </c>
      <c r="B16" s="7" t="n">
        <v>0.9</v>
      </c>
    </row>
    <row r="17">
      <c r="A17" t="inlineStr">
        <is>
          <t>Maintenance (% capex/yr)</t>
        </is>
      </c>
      <c r="B17" s="7" t="n">
        <v>0.05</v>
      </c>
    </row>
    <row r="18">
      <c r="A18" t="inlineStr">
        <is>
          <t>Box cost £</t>
        </is>
      </c>
      <c r="B18" s="10" t="n">
        <v>15200</v>
      </c>
    </row>
    <row r="19">
      <c r="A19" t="inlineStr">
        <is>
          <t>Opex £/box/yr</t>
        </is>
      </c>
      <c r="B19" s="10" t="n">
        <v>150</v>
      </c>
    </row>
    <row r="20">
      <c r="A20" t="inlineStr">
        <is>
          <t>Dry-cooler (heat dump) capex £</t>
        </is>
      </c>
      <c r="B20" s="10" t="n">
        <v>4000</v>
      </c>
    </row>
    <row r="21">
      <c r="A21" t="inlineStr">
        <is>
          <t>Daylight window (h)</t>
        </is>
      </c>
      <c r="B21" s="5" t="n">
        <v>12</v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The seasonal picture — heat demand vs compute heat vs solar (live)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6" customHeight="1">
      <c r="A2" s="3" t="inlineStr">
        <is>
          <t>Winter: house wants lots of heat, little solar (power dear) — heat fully used. Summer: little heat wanted, lots of solar (power cheap) — some heat dumped. The two hedge.</t>
        </is>
      </c>
    </row>
    <row r="4" ht="30" customHeight="1">
      <c r="A4" s="11" t="inlineStr">
        <is>
          <t>Month</t>
        </is>
      </c>
      <c r="B4" s="11" t="inlineStr">
        <is>
          <t>Days</t>
        </is>
      </c>
      <c r="C4" s="11" t="inlineStr">
        <is>
          <t>PSH</t>
        </is>
      </c>
      <c r="D4" s="11" t="inlineStr">
        <is>
          <t>House demand</t>
        </is>
      </c>
      <c r="E4" s="11" t="inlineStr">
        <is>
          <t>Compute heat</t>
        </is>
      </c>
      <c r="F4" s="11" t="inlineStr">
        <is>
          <t>Heat used</t>
        </is>
      </c>
      <c r="G4" s="11" t="inlineStr">
        <is>
          <t>Heat dumped</t>
        </is>
      </c>
      <c r="H4" s="11" t="inlineStr">
        <is>
          <t>Solar gen</t>
        </is>
      </c>
      <c r="I4" s="11" t="inlineStr">
        <is>
          <t>Solar used</t>
        </is>
      </c>
      <c r="J4" s="11" t="inlineStr">
        <is>
          <t>Grid day</t>
        </is>
      </c>
      <c r="K4" s="11" t="inlineStr">
        <is>
          <t>Grid night</t>
        </is>
      </c>
      <c r="L4" s="11" t="inlineStr">
        <is>
          <t>Power £</t>
        </is>
      </c>
      <c r="M4" s="11" t="inlineStr">
        <is>
          <t>Heat rev £</t>
        </is>
      </c>
    </row>
    <row r="5">
      <c r="A5" s="12" t="inlineStr">
        <is>
          <t>Jan</t>
        </is>
      </c>
      <c r="B5" s="12" t="n">
        <v>31</v>
      </c>
      <c r="C5" s="12" t="n">
        <v>0.74</v>
      </c>
      <c r="D5" s="13">
        <f>Assumptions!$B$4*1000*0.125</f>
        <v/>
      </c>
      <c r="E5" s="13">
        <f>Assumptions!$B$5*Assumptions!$B$6*Assumptions!$B$7*B5*24</f>
        <v/>
      </c>
      <c r="F5" s="13">
        <f>MIN(D5,E5)*Assumptions!$B$16</f>
        <v/>
      </c>
      <c r="G5" s="13">
        <f>E5-F5</f>
        <v/>
      </c>
      <c r="H5" s="13">
        <f>Assumptions!$B$10*C5*B5</f>
        <v/>
      </c>
      <c r="I5" s="13">
        <f>MIN(H5,Assumptions!$B$5*Assumptions!$B$6*Assumptions!$B$7*Assumptions!$B$21*B5)</f>
        <v/>
      </c>
      <c r="J5" s="13">
        <f>Assumptions!$B$5*Assumptions!$B$6*Assumptions!$B$7*Assumptions!$B$21*B5-I5</f>
        <v/>
      </c>
      <c r="K5" s="13">
        <f>Assumptions!$B$5*Assumptions!$B$6*Assumptions!$B$7*(24-Assumptions!$B$21)*B5</f>
        <v/>
      </c>
      <c r="L5" s="14">
        <f>(I5*Assumptions!$B$15+J5*Assumptions!$B$13+K5*Assumptions!$B$14)/100</f>
        <v/>
      </c>
      <c r="M5" s="14">
        <f>F5*Assumptions!$B$11*Assumptions!$B$12/100</f>
        <v/>
      </c>
    </row>
    <row r="6">
      <c r="A6" s="12" t="inlineStr">
        <is>
          <t>Feb</t>
        </is>
      </c>
      <c r="B6" s="12" t="n">
        <v>28</v>
      </c>
      <c r="C6" s="12" t="n">
        <v>1.36</v>
      </c>
      <c r="D6" s="13">
        <f>Assumptions!$B$4*1000*0.115</f>
        <v/>
      </c>
      <c r="E6" s="13">
        <f>Assumptions!$B$5*Assumptions!$B$6*Assumptions!$B$7*B6*24</f>
        <v/>
      </c>
      <c r="F6" s="13">
        <f>MIN(D6,E6)*Assumptions!$B$16</f>
        <v/>
      </c>
      <c r="G6" s="13">
        <f>E6-F6</f>
        <v/>
      </c>
      <c r="H6" s="13">
        <f>Assumptions!$B$10*C6*B6</f>
        <v/>
      </c>
      <c r="I6" s="13">
        <f>MIN(H6,Assumptions!$B$5*Assumptions!$B$6*Assumptions!$B$7*Assumptions!$B$21*B6)</f>
        <v/>
      </c>
      <c r="J6" s="13">
        <f>Assumptions!$B$5*Assumptions!$B$6*Assumptions!$B$7*Assumptions!$B$21*B6-I6</f>
        <v/>
      </c>
      <c r="K6" s="13">
        <f>Assumptions!$B$5*Assumptions!$B$6*Assumptions!$B$7*(24-Assumptions!$B$21)*B6</f>
        <v/>
      </c>
      <c r="L6" s="14">
        <f>(I6*Assumptions!$B$15+J6*Assumptions!$B$13+K6*Assumptions!$B$14)/100</f>
        <v/>
      </c>
      <c r="M6" s="14">
        <f>F6*Assumptions!$B$11*Assumptions!$B$12/100</f>
        <v/>
      </c>
    </row>
    <row r="7">
      <c r="A7" s="12" t="inlineStr">
        <is>
          <t>Mar</t>
        </is>
      </c>
      <c r="B7" s="12" t="n">
        <v>31</v>
      </c>
      <c r="C7" s="12" t="n">
        <v>2.31</v>
      </c>
      <c r="D7" s="13">
        <f>Assumptions!$B$4*1000*0.1</f>
        <v/>
      </c>
      <c r="E7" s="13">
        <f>Assumptions!$B$5*Assumptions!$B$6*Assumptions!$B$7*B7*24</f>
        <v/>
      </c>
      <c r="F7" s="13">
        <f>MIN(D7,E7)*Assumptions!$B$16</f>
        <v/>
      </c>
      <c r="G7" s="13">
        <f>E7-F7</f>
        <v/>
      </c>
      <c r="H7" s="13">
        <f>Assumptions!$B$10*C7*B7</f>
        <v/>
      </c>
      <c r="I7" s="13">
        <f>MIN(H7,Assumptions!$B$5*Assumptions!$B$6*Assumptions!$B$7*Assumptions!$B$21*B7)</f>
        <v/>
      </c>
      <c r="J7" s="13">
        <f>Assumptions!$B$5*Assumptions!$B$6*Assumptions!$B$7*Assumptions!$B$21*B7-I7</f>
        <v/>
      </c>
      <c r="K7" s="13">
        <f>Assumptions!$B$5*Assumptions!$B$6*Assumptions!$B$7*(24-Assumptions!$B$21)*B7</f>
        <v/>
      </c>
      <c r="L7" s="14">
        <f>(I7*Assumptions!$B$15+J7*Assumptions!$B$13+K7*Assumptions!$B$14)/100</f>
        <v/>
      </c>
      <c r="M7" s="14">
        <f>F7*Assumptions!$B$11*Assumptions!$B$12/100</f>
        <v/>
      </c>
    </row>
    <row r="8">
      <c r="A8" s="12" t="inlineStr">
        <is>
          <t>Apr</t>
        </is>
      </c>
      <c r="B8" s="12" t="n">
        <v>30</v>
      </c>
      <c r="C8" s="12" t="n">
        <v>3.42</v>
      </c>
      <c r="D8" s="13">
        <f>Assumptions!$B$4*1000*0.075</f>
        <v/>
      </c>
      <c r="E8" s="13">
        <f>Assumptions!$B$5*Assumptions!$B$6*Assumptions!$B$7*B8*24</f>
        <v/>
      </c>
      <c r="F8" s="13">
        <f>MIN(D8,E8)*Assumptions!$B$16</f>
        <v/>
      </c>
      <c r="G8" s="13">
        <f>E8-F8</f>
        <v/>
      </c>
      <c r="H8" s="13">
        <f>Assumptions!$B$10*C8*B8</f>
        <v/>
      </c>
      <c r="I8" s="13">
        <f>MIN(H8,Assumptions!$B$5*Assumptions!$B$6*Assumptions!$B$7*Assumptions!$B$21*B8)</f>
        <v/>
      </c>
      <c r="J8" s="13">
        <f>Assumptions!$B$5*Assumptions!$B$6*Assumptions!$B$7*Assumptions!$B$21*B8-I8</f>
        <v/>
      </c>
      <c r="K8" s="13">
        <f>Assumptions!$B$5*Assumptions!$B$6*Assumptions!$B$7*(24-Assumptions!$B$21)*B8</f>
        <v/>
      </c>
      <c r="L8" s="14">
        <f>(I8*Assumptions!$B$15+J8*Assumptions!$B$13+K8*Assumptions!$B$14)/100</f>
        <v/>
      </c>
      <c r="M8" s="14">
        <f>F8*Assumptions!$B$11*Assumptions!$B$12/100</f>
        <v/>
      </c>
    </row>
    <row r="9">
      <c r="A9" s="12" t="inlineStr">
        <is>
          <t>May</t>
        </is>
      </c>
      <c r="B9" s="12" t="n">
        <v>31</v>
      </c>
      <c r="C9" s="12" t="n">
        <v>4.38</v>
      </c>
      <c r="D9" s="13">
        <f>Assumptions!$B$4*1000*0.055</f>
        <v/>
      </c>
      <c r="E9" s="13">
        <f>Assumptions!$B$5*Assumptions!$B$6*Assumptions!$B$7*B9*24</f>
        <v/>
      </c>
      <c r="F9" s="13">
        <f>MIN(D9,E9)*Assumptions!$B$16</f>
        <v/>
      </c>
      <c r="G9" s="13">
        <f>E9-F9</f>
        <v/>
      </c>
      <c r="H9" s="13">
        <f>Assumptions!$B$10*C9*B9</f>
        <v/>
      </c>
      <c r="I9" s="13">
        <f>MIN(H9,Assumptions!$B$5*Assumptions!$B$6*Assumptions!$B$7*Assumptions!$B$21*B9)</f>
        <v/>
      </c>
      <c r="J9" s="13">
        <f>Assumptions!$B$5*Assumptions!$B$6*Assumptions!$B$7*Assumptions!$B$21*B9-I9</f>
        <v/>
      </c>
      <c r="K9" s="13">
        <f>Assumptions!$B$5*Assumptions!$B$6*Assumptions!$B$7*(24-Assumptions!$B$21)*B9</f>
        <v/>
      </c>
      <c r="L9" s="14">
        <f>(I9*Assumptions!$B$15+J9*Assumptions!$B$13+K9*Assumptions!$B$14)/100</f>
        <v/>
      </c>
      <c r="M9" s="14">
        <f>F9*Assumptions!$B$11*Assumptions!$B$12/100</f>
        <v/>
      </c>
    </row>
    <row r="10">
      <c r="A10" s="12" t="inlineStr">
        <is>
          <t>Jun</t>
        </is>
      </c>
      <c r="B10" s="12" t="n">
        <v>30</v>
      </c>
      <c r="C10" s="12" t="n">
        <v>4.5</v>
      </c>
      <c r="D10" s="13">
        <f>Assumptions!$B$4*1000*0.045</f>
        <v/>
      </c>
      <c r="E10" s="13">
        <f>Assumptions!$B$5*Assumptions!$B$6*Assumptions!$B$7*B10*24</f>
        <v/>
      </c>
      <c r="F10" s="13">
        <f>MIN(D10,E10)*Assumptions!$B$16</f>
        <v/>
      </c>
      <c r="G10" s="13">
        <f>E10-F10</f>
        <v/>
      </c>
      <c r="H10" s="13">
        <f>Assumptions!$B$10*C10*B10</f>
        <v/>
      </c>
      <c r="I10" s="13">
        <f>MIN(H10,Assumptions!$B$5*Assumptions!$B$6*Assumptions!$B$7*Assumptions!$B$21*B10)</f>
        <v/>
      </c>
      <c r="J10" s="13">
        <f>Assumptions!$B$5*Assumptions!$B$6*Assumptions!$B$7*Assumptions!$B$21*B10-I10</f>
        <v/>
      </c>
      <c r="K10" s="13">
        <f>Assumptions!$B$5*Assumptions!$B$6*Assumptions!$B$7*(24-Assumptions!$B$21)*B10</f>
        <v/>
      </c>
      <c r="L10" s="14">
        <f>(I10*Assumptions!$B$15+J10*Assumptions!$B$13+K10*Assumptions!$B$14)/100</f>
        <v/>
      </c>
      <c r="M10" s="14">
        <f>F10*Assumptions!$B$11*Assumptions!$B$12/100</f>
        <v/>
      </c>
    </row>
    <row r="11">
      <c r="A11" s="12" t="inlineStr">
        <is>
          <t>Jul</t>
        </is>
      </c>
      <c r="B11" s="12" t="n">
        <v>31</v>
      </c>
      <c r="C11" s="12" t="n">
        <v>4.35</v>
      </c>
      <c r="D11" s="13">
        <f>Assumptions!$B$4*1000*0.045</f>
        <v/>
      </c>
      <c r="E11" s="13">
        <f>Assumptions!$B$5*Assumptions!$B$6*Assumptions!$B$7*B11*24</f>
        <v/>
      </c>
      <c r="F11" s="13">
        <f>MIN(D11,E11)*Assumptions!$B$16</f>
        <v/>
      </c>
      <c r="G11" s="13">
        <f>E11-F11</f>
        <v/>
      </c>
      <c r="H11" s="13">
        <f>Assumptions!$B$10*C11*B11</f>
        <v/>
      </c>
      <c r="I11" s="13">
        <f>MIN(H11,Assumptions!$B$5*Assumptions!$B$6*Assumptions!$B$7*Assumptions!$B$21*B11)</f>
        <v/>
      </c>
      <c r="J11" s="13">
        <f>Assumptions!$B$5*Assumptions!$B$6*Assumptions!$B$7*Assumptions!$B$21*B11-I11</f>
        <v/>
      </c>
      <c r="K11" s="13">
        <f>Assumptions!$B$5*Assumptions!$B$6*Assumptions!$B$7*(24-Assumptions!$B$21)*B11</f>
        <v/>
      </c>
      <c r="L11" s="14">
        <f>(I11*Assumptions!$B$15+J11*Assumptions!$B$13+K11*Assumptions!$B$14)/100</f>
        <v/>
      </c>
      <c r="M11" s="14">
        <f>F11*Assumptions!$B$11*Assumptions!$B$12/100</f>
        <v/>
      </c>
    </row>
    <row r="12">
      <c r="A12" s="12" t="inlineStr">
        <is>
          <t>Aug</t>
        </is>
      </c>
      <c r="B12" s="12" t="n">
        <v>31</v>
      </c>
      <c r="C12" s="12" t="n">
        <v>3.78</v>
      </c>
      <c r="D12" s="13">
        <f>Assumptions!$B$4*1000*0.045</f>
        <v/>
      </c>
      <c r="E12" s="13">
        <f>Assumptions!$B$5*Assumptions!$B$6*Assumptions!$B$7*B12*24</f>
        <v/>
      </c>
      <c r="F12" s="13">
        <f>MIN(D12,E12)*Assumptions!$B$16</f>
        <v/>
      </c>
      <c r="G12" s="13">
        <f>E12-F12</f>
        <v/>
      </c>
      <c r="H12" s="13">
        <f>Assumptions!$B$10*C12*B12</f>
        <v/>
      </c>
      <c r="I12" s="13">
        <f>MIN(H12,Assumptions!$B$5*Assumptions!$B$6*Assumptions!$B$7*Assumptions!$B$21*B12)</f>
        <v/>
      </c>
      <c r="J12" s="13">
        <f>Assumptions!$B$5*Assumptions!$B$6*Assumptions!$B$7*Assumptions!$B$21*B12-I12</f>
        <v/>
      </c>
      <c r="K12" s="13">
        <f>Assumptions!$B$5*Assumptions!$B$6*Assumptions!$B$7*(24-Assumptions!$B$21)*B12</f>
        <v/>
      </c>
      <c r="L12" s="14">
        <f>(I12*Assumptions!$B$15+J12*Assumptions!$B$13+K12*Assumptions!$B$14)/100</f>
        <v/>
      </c>
      <c r="M12" s="14">
        <f>F12*Assumptions!$B$11*Assumptions!$B$12/100</f>
        <v/>
      </c>
    </row>
    <row r="13">
      <c r="A13" s="12" t="inlineStr">
        <is>
          <t>Sep</t>
        </is>
      </c>
      <c r="B13" s="12" t="n">
        <v>30</v>
      </c>
      <c r="C13" s="12" t="n">
        <v>2.82</v>
      </c>
      <c r="D13" s="13">
        <f>Assumptions!$B$4*1000*0.065</f>
        <v/>
      </c>
      <c r="E13" s="13">
        <f>Assumptions!$B$5*Assumptions!$B$6*Assumptions!$B$7*B13*24</f>
        <v/>
      </c>
      <c r="F13" s="13">
        <f>MIN(D13,E13)*Assumptions!$B$16</f>
        <v/>
      </c>
      <c r="G13" s="13">
        <f>E13-F13</f>
        <v/>
      </c>
      <c r="H13" s="13">
        <f>Assumptions!$B$10*C13*B13</f>
        <v/>
      </c>
      <c r="I13" s="13">
        <f>MIN(H13,Assumptions!$B$5*Assumptions!$B$6*Assumptions!$B$7*Assumptions!$B$21*B13)</f>
        <v/>
      </c>
      <c r="J13" s="13">
        <f>Assumptions!$B$5*Assumptions!$B$6*Assumptions!$B$7*Assumptions!$B$21*B13-I13</f>
        <v/>
      </c>
      <c r="K13" s="13">
        <f>Assumptions!$B$5*Assumptions!$B$6*Assumptions!$B$7*(24-Assumptions!$B$21)*B13</f>
        <v/>
      </c>
      <c r="L13" s="14">
        <f>(I13*Assumptions!$B$15+J13*Assumptions!$B$13+K13*Assumptions!$B$14)/100</f>
        <v/>
      </c>
      <c r="M13" s="14">
        <f>F13*Assumptions!$B$11*Assumptions!$B$12/100</f>
        <v/>
      </c>
    </row>
    <row r="14">
      <c r="A14" s="12" t="inlineStr">
        <is>
          <t>Oct</t>
        </is>
      </c>
      <c r="B14" s="12" t="n">
        <v>31</v>
      </c>
      <c r="C14" s="12" t="n">
        <v>1.61</v>
      </c>
      <c r="D14" s="13">
        <f>Assumptions!$B$4*1000*0.085</f>
        <v/>
      </c>
      <c r="E14" s="13">
        <f>Assumptions!$B$5*Assumptions!$B$6*Assumptions!$B$7*B14*24</f>
        <v/>
      </c>
      <c r="F14" s="13">
        <f>MIN(D14,E14)*Assumptions!$B$16</f>
        <v/>
      </c>
      <c r="G14" s="13">
        <f>E14-F14</f>
        <v/>
      </c>
      <c r="H14" s="13">
        <f>Assumptions!$B$10*C14*B14</f>
        <v/>
      </c>
      <c r="I14" s="13">
        <f>MIN(H14,Assumptions!$B$5*Assumptions!$B$6*Assumptions!$B$7*Assumptions!$B$21*B14)</f>
        <v/>
      </c>
      <c r="J14" s="13">
        <f>Assumptions!$B$5*Assumptions!$B$6*Assumptions!$B$7*Assumptions!$B$21*B14-I14</f>
        <v/>
      </c>
      <c r="K14" s="13">
        <f>Assumptions!$B$5*Assumptions!$B$6*Assumptions!$B$7*(24-Assumptions!$B$21)*B14</f>
        <v/>
      </c>
      <c r="L14" s="14">
        <f>(I14*Assumptions!$B$15+J14*Assumptions!$B$13+K14*Assumptions!$B$14)/100</f>
        <v/>
      </c>
      <c r="M14" s="14">
        <f>F14*Assumptions!$B$11*Assumptions!$B$12/100</f>
        <v/>
      </c>
    </row>
    <row r="15">
      <c r="A15" s="12" t="inlineStr">
        <is>
          <t>Nov</t>
        </is>
      </c>
      <c r="B15" s="12" t="n">
        <v>30</v>
      </c>
      <c r="C15" s="12" t="n">
        <v>0.86</v>
      </c>
      <c r="D15" s="13">
        <f>Assumptions!$B$4*1000*0.105</f>
        <v/>
      </c>
      <c r="E15" s="13">
        <f>Assumptions!$B$5*Assumptions!$B$6*Assumptions!$B$7*B15*24</f>
        <v/>
      </c>
      <c r="F15" s="13">
        <f>MIN(D15,E15)*Assumptions!$B$16</f>
        <v/>
      </c>
      <c r="G15" s="13">
        <f>E15-F15</f>
        <v/>
      </c>
      <c r="H15" s="13">
        <f>Assumptions!$B$10*C15*B15</f>
        <v/>
      </c>
      <c r="I15" s="13">
        <f>MIN(H15,Assumptions!$B$5*Assumptions!$B$6*Assumptions!$B$7*Assumptions!$B$21*B15)</f>
        <v/>
      </c>
      <c r="J15" s="13">
        <f>Assumptions!$B$5*Assumptions!$B$6*Assumptions!$B$7*Assumptions!$B$21*B15-I15</f>
        <v/>
      </c>
      <c r="K15" s="13">
        <f>Assumptions!$B$5*Assumptions!$B$6*Assumptions!$B$7*(24-Assumptions!$B$21)*B15</f>
        <v/>
      </c>
      <c r="L15" s="14">
        <f>(I15*Assumptions!$B$15+J15*Assumptions!$B$13+K15*Assumptions!$B$14)/100</f>
        <v/>
      </c>
      <c r="M15" s="14">
        <f>F15*Assumptions!$B$11*Assumptions!$B$12/100</f>
        <v/>
      </c>
    </row>
    <row r="16">
      <c r="A16" s="12" t="inlineStr">
        <is>
          <t>Dec</t>
        </is>
      </c>
      <c r="B16" s="12" t="n">
        <v>31</v>
      </c>
      <c r="C16" s="12" t="n">
        <v>0.6</v>
      </c>
      <c r="D16" s="13">
        <f>Assumptions!$B$4*1000*0.14</f>
        <v/>
      </c>
      <c r="E16" s="13">
        <f>Assumptions!$B$5*Assumptions!$B$6*Assumptions!$B$7*B16*24</f>
        <v/>
      </c>
      <c r="F16" s="13">
        <f>MIN(D16,E16)*Assumptions!$B$16</f>
        <v/>
      </c>
      <c r="G16" s="13">
        <f>E16-F16</f>
        <v/>
      </c>
      <c r="H16" s="13">
        <f>Assumptions!$B$10*C16*B16</f>
        <v/>
      </c>
      <c r="I16" s="13">
        <f>MIN(H16,Assumptions!$B$5*Assumptions!$B$6*Assumptions!$B$7*Assumptions!$B$21*B16)</f>
        <v/>
      </c>
      <c r="J16" s="13">
        <f>Assumptions!$B$5*Assumptions!$B$6*Assumptions!$B$7*Assumptions!$B$21*B16-I16</f>
        <v/>
      </c>
      <c r="K16" s="13">
        <f>Assumptions!$B$5*Assumptions!$B$6*Assumptions!$B$7*(24-Assumptions!$B$21)*B16</f>
        <v/>
      </c>
      <c r="L16" s="14">
        <f>(I16*Assumptions!$B$15+J16*Assumptions!$B$13+K16*Assumptions!$B$14)/100</f>
        <v/>
      </c>
      <c r="M16" s="14">
        <f>F16*Assumptions!$B$11*Assumptions!$B$12/100</f>
        <v/>
      </c>
    </row>
    <row r="17">
      <c r="A17" s="15" t="inlineStr">
        <is>
          <t>TOTAL</t>
        </is>
      </c>
      <c r="D17" s="16">
        <f>SUM(D5:D16)</f>
        <v/>
      </c>
      <c r="E17" s="16">
        <f>SUM(E5:E16)</f>
        <v/>
      </c>
      <c r="F17" s="16">
        <f>SUM(F5:F16)</f>
        <v/>
      </c>
      <c r="G17" s="16">
        <f>SUM(G5:G16)</f>
        <v/>
      </c>
      <c r="H17" s="16">
        <f>SUM(H5:H16)</f>
        <v/>
      </c>
      <c r="I17" s="16">
        <f>SUM(I5:I16)</f>
        <v/>
      </c>
      <c r="J17" s="16">
        <f>SUM(J5:J16)</f>
        <v/>
      </c>
      <c r="K17" s="16">
        <f>SUM(K5:K16)</f>
        <v/>
      </c>
      <c r="L17" s="17">
        <f>SUM(L5:L16)</f>
        <v/>
      </c>
      <c r="M17" s="17">
        <f>SUM(M5:M16)</f>
        <v/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30" customWidth="1" min="3" max="3"/>
  </cols>
  <sheetData>
    <row r="1">
      <c r="A1" s="1" t="inlineStr">
        <is>
          <t>Economics — £100k poultry plant-room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18" t="inlineStr">
        <is>
          <t>CAPITAL</t>
        </is>
      </c>
    </row>
    <row r="4">
      <c r="A4" t="inlineStr">
        <is>
          <t>Compute capex (boxes)</t>
        </is>
      </c>
      <c r="B4" s="19">
        <f>Assumptions!$B$5*Assumptions!$B$18</f>
        <v/>
      </c>
    </row>
    <row r="5">
      <c r="A5" t="inlineStr">
        <is>
          <t>Dry-cooler (heat dump)</t>
        </is>
      </c>
      <c r="B5" s="19">
        <f>Assumptions!$B$20</f>
        <v/>
      </c>
    </row>
    <row r="6">
      <c r="A6" t="inlineStr">
        <is>
          <t>TOTAL CAPEX</t>
        </is>
      </c>
      <c r="B6" s="20">
        <f>B4+B5</f>
        <v/>
      </c>
    </row>
    <row r="8">
      <c r="A8" s="18" t="inlineStr">
        <is>
          <t>ANNUAL P&amp;L</t>
        </is>
      </c>
    </row>
    <row r="9">
      <c r="A9" t="inlineStr">
        <is>
          <t>Compute revenue (needs DEMAND)</t>
        </is>
      </c>
      <c r="B9" s="20">
        <f>Assumptions!$B$5*Assumptions!$B$8*Assumptions!$B$9*Assumptions!$B$7*8760</f>
        <v/>
      </c>
    </row>
    <row r="10">
      <c r="A10" t="inlineStr">
        <is>
          <t>Heat revenue (sold to house @ discount)</t>
        </is>
      </c>
      <c r="B10" s="20">
        <f>Monthly!$M$17</f>
        <v/>
      </c>
    </row>
    <row r="11">
      <c r="A11" t="inlineStr">
        <is>
          <t>− Power</t>
        </is>
      </c>
      <c r="B11" s="19">
        <f>-Monthly!$L$17</f>
        <v/>
      </c>
    </row>
    <row r="12">
      <c r="A12" t="inlineStr">
        <is>
          <t>− Maintenance</t>
        </is>
      </c>
      <c r="B12" s="19">
        <f>-B6*Assumptions!$B$17</f>
        <v/>
      </c>
    </row>
    <row r="13">
      <c r="A13" t="inlineStr">
        <is>
          <t>− Opex</t>
        </is>
      </c>
      <c r="B13" s="19">
        <f>-Assumptions!$B$5*Assumptions!$B$19</f>
        <v/>
      </c>
    </row>
    <row r="14">
      <c r="A14" t="inlineStr">
        <is>
          <t>NET £/yr</t>
        </is>
      </c>
      <c r="B14" s="20">
        <f>B9+B10+B11+B12+B13</f>
        <v/>
      </c>
    </row>
    <row r="15">
      <c r="A15" t="inlineStr">
        <is>
          <t>PAYBACK (months)</t>
        </is>
      </c>
      <c r="B15" s="21">
        <f>IF(B14&gt;0,B6/B14*12,"loss")</f>
        <v/>
      </c>
    </row>
    <row r="16">
      <c r="A16" t="inlineStr">
        <is>
          <t>Return on capital (%/yr)</t>
        </is>
      </c>
      <c r="B16" s="22">
        <f>B14/B6</f>
        <v/>
      </c>
    </row>
    <row r="18">
      <c r="A18" s="18" t="inlineStr">
        <is>
          <t>HEAT SINK CHECK</t>
        </is>
      </c>
    </row>
    <row r="19">
      <c r="A19" t="inlineStr">
        <is>
          <t>Heat sold (kWh/yr)</t>
        </is>
      </c>
      <c r="B19" s="23">
        <f>Monthly!$F$17</f>
        <v/>
      </c>
    </row>
    <row r="20">
      <c r="A20">
        <f> % of house's heat demand</f>
        <v/>
      </c>
      <c r="B20" s="22">
        <f>Monthly!$F$17/Monthly!$D$17</f>
        <v/>
      </c>
      <c r="C20" s="9" t="inlineStr">
        <is>
          <t>tiny % → room to scale far past £100k</t>
        </is>
      </c>
    </row>
    <row r="21">
      <c r="A21" t="inlineStr">
        <is>
          <t>House saving (their incentive, £/yr)</t>
        </is>
      </c>
      <c r="B21" s="20">
        <f>Monthly!$M$17/Assumptions!$B$12*(1-Assumptions!$B$12)</f>
        <v/>
      </c>
      <c r="C21" s="9" t="inlineStr">
        <is>
          <t>what halving their fuel bill is worth to them</t>
        </is>
      </c>
    </row>
    <row r="23">
      <c r="A23" s="18" t="inlineStr">
        <is>
          <t>QUICK SCENARIOS (fuel × power, 90% contracted util)</t>
        </is>
      </c>
    </row>
    <row r="24">
      <c r="A24" s="9" t="inlineStr">
        <is>
          <t xml:space="preserve">set Assumptions util=90%, then read: </t>
        </is>
      </c>
    </row>
    <row r="25">
      <c r="A25" s="24" t="inlineStr">
        <is>
          <t>LPG + grid 24p ≈ 29mo · LPG + solar ≈ 21mo</t>
        </is>
      </c>
    </row>
    <row r="26">
      <c r="A26" s="24" t="inlineStr">
        <is>
          <t>Oil + solar ≈ 21mo · Biomass + solar ≈ 22mo (heat cheap, solar carries it)</t>
        </is>
      </c>
    </row>
    <row r="27">
      <c r="A27" s="24" t="inlineStr">
        <is>
          <t>At 70% util add ~8–10 months. Spot demand (55%) fails — DEMAND is still the gate.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Demand — the one thing everything rests 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3" t="inlineStr">
        <is>
          <t>Hard numbers (researched Jun 2026). Revenue is COMMODITY; token-serving ≈ raw rental. Utilisation is the variable that decides it, and your EDGE is being the lowest-cost producer.</t>
        </is>
      </c>
    </row>
    <row r="4">
      <c r="A4" s="18" t="inlineStr">
        <is>
          <t>A · Revenue per 4090 is commodity — token does NOT beat raw rental</t>
        </is>
      </c>
    </row>
    <row r="5">
      <c r="A5" s="12" t="inlineStr">
        <is>
          <t>Raw spot rental (Vast, host receives)</t>
        </is>
      </c>
      <c r="B5" s="25" t="inlineStr">
        <is>
          <t>£0.25/hr</t>
        </is>
      </c>
      <c r="C5" s="9" t="inlineStr">
        <is>
          <t>what you get renting the bare GPU</t>
        </is>
      </c>
    </row>
    <row r="6">
      <c r="A6" s="12" t="inlineStr">
        <is>
          <t>Token-serve Llama-8B @ $0.03/M, ~1,750 tok/s batched</t>
        </is>
      </c>
      <c r="B6" s="25" t="inlineStr">
        <is>
          <t>~£0.15–0.21/hr</t>
        </is>
      </c>
      <c r="C6" s="9" t="inlineStr">
        <is>
          <t>output @ commodity floor — LESS than raw rental</t>
        </is>
      </c>
    </row>
    <row r="7">
      <c r="A7" s="12" t="inlineStr">
        <is>
          <t>Token-serve 70B (2×4090) @ ~$0.19/M</t>
        </is>
      </c>
      <c r="B7" s="25" t="inlineStr">
        <is>
          <t>~£0.16/hr per GPU</t>
        </is>
      </c>
      <c r="C7" s="9" t="inlineStr">
        <is>
          <t>bigger model, lower throughput — no better</t>
        </is>
      </c>
    </row>
    <row r="8">
      <c r="A8" s="12" t="inlineStr">
        <is>
          <t>→ conclusion</t>
        </is>
      </c>
      <c r="B8" s="25" t="inlineStr">
        <is>
          <t>commodity ~£0.20–0.25/hr</t>
        </is>
      </c>
      <c r="C8" s="9" t="inlineStr">
        <is>
          <t>inference is a race to the floor; batching ≠ more £</t>
        </is>
      </c>
    </row>
    <row r="11">
      <c r="A11" s="18" t="inlineStr">
        <is>
          <t>B · So UTILISATION decides it — what you need at the poultry site (£95k, 12.4p power, heat sold)</t>
        </is>
      </c>
    </row>
    <row r="12">
      <c r="A12" s="26" t="inlineStr">
        <is>
          <t>Utilisation</t>
        </is>
      </c>
      <c r="B12" s="26" t="inlineStr">
        <is>
          <t>Net £/yr</t>
        </is>
      </c>
      <c r="C12" s="26" t="inlineStr">
        <is>
          <t>Payback (mo)</t>
        </is>
      </c>
      <c r="D12" s="26" t="inlineStr">
        <is>
          <t>verdict</t>
        </is>
      </c>
    </row>
    <row r="13">
      <c r="A13" s="27" t="n">
        <v>0.5</v>
      </c>
      <c r="B13" s="14" t="n">
        <v>29126</v>
      </c>
      <c r="C13" s="28" t="n">
        <v>39.2</v>
      </c>
      <c r="D13" s="25" t="inlineStr">
        <is>
          <t>fails (chip dies)</t>
        </is>
      </c>
    </row>
    <row r="14">
      <c r="A14" s="27" t="n">
        <v>0.55</v>
      </c>
      <c r="B14" s="14" t="n">
        <v>32605</v>
      </c>
      <c r="C14" s="28" t="n">
        <v>35</v>
      </c>
      <c r="D14" s="25" t="inlineStr">
        <is>
          <t>tight</t>
        </is>
      </c>
    </row>
    <row r="15">
      <c r="A15" s="27" t="n">
        <v>0.65</v>
      </c>
      <c r="B15" s="14" t="n">
        <v>39562</v>
      </c>
      <c r="C15" s="28" t="n">
        <v>28.9</v>
      </c>
      <c r="D15" s="25" t="inlineStr">
        <is>
          <t>tight</t>
        </is>
      </c>
    </row>
    <row r="16">
      <c r="A16" s="27" t="n">
        <v>0.7</v>
      </c>
      <c r="B16" s="14" t="n">
        <v>43040</v>
      </c>
      <c r="C16" s="28" t="n">
        <v>26.5</v>
      </c>
      <c r="D16" s="25" t="inlineStr">
        <is>
          <t>tight</t>
        </is>
      </c>
    </row>
    <row r="17">
      <c r="A17" s="27" t="n">
        <v>0.8</v>
      </c>
      <c r="B17" s="14" t="n">
        <v>49998</v>
      </c>
      <c r="C17" s="28" t="n">
        <v>22.8</v>
      </c>
      <c r="D17" s="25" t="inlineStr">
        <is>
          <t>viable</t>
        </is>
      </c>
    </row>
    <row r="18">
      <c r="A18" s="27" t="n">
        <v>0.9</v>
      </c>
      <c r="B18" s="14" t="n">
        <v>56955</v>
      </c>
      <c r="C18" s="28" t="n">
        <v>20.1</v>
      </c>
      <c r="D18" s="25" t="inlineStr">
        <is>
          <t>viable</t>
        </is>
      </c>
    </row>
    <row r="19">
      <c r="A19" s="29" t="inlineStr">
        <is>
          <t>→ Need ~55% just to beat the 3-yr chip life; ~77% for a 2-year payback. A 4090 gets ~55–65% on the open market.</t>
        </is>
      </c>
    </row>
    <row r="22">
      <c r="A22" s="18" t="inlineStr">
        <is>
          <t>C · Your edge: lowest-cost producer (why you can WIN the utilisation)</t>
        </is>
      </c>
    </row>
    <row r="23">
      <c r="A23" s="12" t="inlineStr">
        <is>
          <t>Your marginal cost (12.4p solar power)</t>
        </is>
      </c>
      <c r="B23" s="25" t="inlineStr">
        <is>
          <t>£0.056/GPU-hr</t>
        </is>
      </c>
      <c r="C23" s="9" t="inlineStr">
        <is>
          <t>cheapest</t>
        </is>
      </c>
    </row>
    <row r="24">
      <c r="A24" s="12" t="inlineStr">
        <is>
          <t>A gamer's marginal cost (25p retail power)</t>
        </is>
      </c>
      <c r="B24" s="25" t="inlineStr">
        <is>
          <t>£0.113/GPU-hr</t>
        </is>
      </c>
      <c r="C24" s="9" t="inlineStr">
        <is>
          <t>2× yours</t>
        </is>
      </c>
    </row>
    <row r="25">
      <c r="A25" s="12" t="inlineStr">
        <is>
          <t>A datacentre's (grid + cooling + rent)</t>
        </is>
      </c>
      <c r="B25" s="25" t="inlineStr">
        <is>
          <t>£0.10–0.18/GPU-hr</t>
        </is>
      </c>
      <c r="C25" s="9" t="inlineStr">
        <is>
          <t>+ overheads you don't have</t>
        </is>
      </c>
    </row>
    <row r="26">
      <c r="A26" s="12" t="inlineStr">
        <is>
          <t>→ you can price at the floor + still profit</t>
        </is>
      </c>
      <c r="B26" s="25" t="inlineStr">
        <is>
          <t>win routing (OpenRouter routes cheapest-first)</t>
        </is>
      </c>
      <c r="C26" s="9" t="inlineStr">
        <is>
          <t>heat + free siting = the margin others lack</t>
        </is>
      </c>
    </row>
    <row r="29">
      <c r="A29" s="18" t="inlineStr">
        <is>
          <t>D · The three demand routes</t>
        </is>
      </c>
    </row>
    <row r="30">
      <c r="A30" s="12" t="inlineStr">
        <is>
          <t>1. Spot rental (Vast) + OpenRouter provider</t>
        </is>
      </c>
      <c r="B30" s="25" t="inlineStr">
        <is>
          <t>util ~55–70% (market)</t>
        </is>
      </c>
      <c r="C30" s="9" t="inlineStr">
        <is>
          <t>live in weeks; long tail of small providers IS listed; you're a price-taker</t>
        </is>
      </c>
    </row>
    <row r="31">
      <c r="A31" s="12" t="inlineStr">
        <is>
          <t>2. Be the CHEAPEST (your cost edge) → win routing</t>
        </is>
      </c>
      <c r="B31" s="25" t="inlineStr">
        <is>
          <t>util ~70–80% (push by price)</t>
        </is>
      </c>
      <c r="C31" s="9" t="inlineStr">
        <is>
          <t>the realistic plan — undercut on price, profit on low cost</t>
        </is>
      </c>
    </row>
    <row r="32">
      <c r="A32" s="12" t="inlineStr">
        <is>
          <t>3. One anchor customer (contract)</t>
        </is>
      </c>
      <c r="B32" s="25" t="inlineStr">
        <is>
          <t>util ~90% (locked)</t>
        </is>
      </c>
      <c r="C32" s="9" t="inlineStr">
        <is>
          <t>needs sales; a reason to pick you = your low price</t>
        </is>
      </c>
    </row>
    <row r="34" ht="44" customHeight="1">
      <c r="A34" s="30" t="inlineStr">
        <is>
          <t>VALIDATE BEFORE THE £100k: run ONE box on Vast + OpenRouter for a month (~£2k). It measures the ONE unknown — real achievable utilisation at your price. If it clears ~65%, the £100k pays back; if it sits at 40%, it doesn't. That £2k de-risks the whole decision.</t>
        </is>
      </c>
    </row>
  </sheetData>
  <mergeCells count="3">
    <mergeCell ref="A19:F19"/>
    <mergeCell ref="A2:F2"/>
    <mergeCell ref="A34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— the plant-room architecture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 ht="64" customHeight="1">
      <c r="A3" s="31" t="inlineStr">
        <is>
          <t>FORM FACTOR: the compute unit IS a package plant room — external, like your biomass boiler house. Electronics stay OUTSIDE the shed (dust/ammonia/humidity are hostile + biosecurity); only WATER goes into the existing wet loop. You already install exactly this.</t>
        </is>
      </c>
    </row>
    <row r="4" ht="64" customHeight="1">
      <c r="A4" s="31" t="inlineStr">
        <is>
          <t>BASE-LOAD vs PEAK: compute runs 24/7 for revenue, so its heat is steady. The house wants a lot at chick placement (32–34°C brooding) and little once birds self-heat / between crops. So compute = BASE-LOAD heat; the existing biomass/LPG boiler stays as the PEAK/top-up. They coexist.</t>
        </is>
      </c>
    </row>
    <row r="5" ht="64" customHeight="1">
      <c r="A5" s="31" t="inlineStr">
        <is>
          <t>DRY-COOLER (the one new bit): when the shed doesn't want heat (between crops, hot weather), the compute can't switch off — that's the revenue — so a dry cooler dumps the excess. ~£4k, essential. (A biomass boiler just modulates off; compute can't.)</t>
        </is>
      </c>
    </row>
    <row r="6" ht="64" customHeight="1">
      <c r="A6" s="31" t="inlineStr">
        <is>
          <t>FUEL VALUE: best where you displace LPG (~12p) or oil (~8.5p). At houses already on cheap biomass (~5p) the heat earns little — but solar + compute demand still carry the payback (~22mo). Sort your contacts by fuel.</t>
        </is>
      </c>
    </row>
    <row r="7" ht="64" customHeight="1">
      <c r="A7" s="31" t="inlineStr">
        <is>
          <t>THE BIG ROOF: a broiler house roof (~2,000 m²) holds ~300 kWp. You only need ~40 kWp to power the compute cheaply; the rest could power the farm or export — a separate solar investment, and the reason cheap power is EASY here.</t>
        </is>
      </c>
    </row>
    <row r="8" ht="64" customHeight="1">
      <c r="A8" s="31" t="inlineStr">
        <is>
          <t>WHAT STILL GATES IT: install/access/form-factor are solved by your background. Payback still needs (1) a buyer for the compute (own token endpoint or one customer — 36 GPUs is fillable) and (2) cheap power (the roof). Heat is the sweetener + the siting deal, not the driver.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2026-06-07T21:21:35Z</dcterms:created>
  <dcterms:modified xmlns:dcterms="http://purl.org/dc/terms/" xmlns:xsi="http://www.w3.org/2001/XMLSchema-instance" xsi:type="dcterms:W3CDTF">2026-06-07T21:21:35Z</dcterms:modified>
</cp:coreProperties>
</file>