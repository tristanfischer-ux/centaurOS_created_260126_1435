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s &amp; Evidence" sheetId="1" state="visible" r:id="rId1"/>
    <sheet xmlns:r="http://schemas.openxmlformats.org/officeDocument/2006/relationships" name="Assumptions" sheetId="2" state="visible" r:id="rId2"/>
    <sheet xmlns:r="http://schemas.openxmlformats.org/officeDocument/2006/relationships" name="Scenarios" sheetId="3" state="visible" r:id="rId3"/>
    <sheet xmlns:r="http://schemas.openxmlformats.org/officeDocument/2006/relationships" name="Real Businesses" sheetId="4" state="visible" r:id="rId4"/>
    <sheet xmlns:r="http://schemas.openxmlformats.org/officeDocument/2006/relationships" name="Sources" sheetId="5" state="visible" r:id="rId5"/>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00"/>
  </numFmts>
  <fonts count="14">
    <font>
      <name val="Calibri"/>
      <family val="2"/>
      <color theme="1"/>
      <sz val="11"/>
      <scheme val="minor"/>
    </font>
    <font>
      <b val="1"/>
      <color rgb="00FFFFFF"/>
      <sz val="14"/>
    </font>
    <font>
      <i val="1"/>
      <sz val="9"/>
    </font>
    <font>
      <b val="1"/>
      <color rgb="00FFFFFF"/>
    </font>
    <font>
      <b val="1"/>
      <color rgb="001F4E79"/>
    </font>
    <font>
      <color rgb="00000000"/>
    </font>
    <font>
      <b val="1"/>
      <color rgb="001F4E79"/>
      <sz val="11"/>
    </font>
    <font>
      <b val="1"/>
    </font>
    <font>
      <b val="1"/>
      <i val="1"/>
      <color rgb="00E65100"/>
    </font>
    <font>
      <color rgb="002E7D32"/>
    </font>
    <font>
      <color rgb="00B71C1C"/>
    </font>
    <font>
      <b val="1"/>
      <color rgb="00E65100"/>
    </font>
    <font>
      <b val="1"/>
      <i val="1"/>
      <color rgb="001F4E79"/>
    </font>
    <font>
      <color rgb="000563C1"/>
      <sz val="9"/>
      <u val="single"/>
    </font>
  </fonts>
  <fills count="6">
    <fill>
      <patternFill/>
    </fill>
    <fill>
      <patternFill patternType="gray125"/>
    </fill>
    <fill>
      <patternFill patternType="solid">
        <fgColor rgb="001F4E79"/>
      </patternFill>
    </fill>
    <fill>
      <patternFill patternType="solid">
        <fgColor rgb="004472C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wrapText="1"/>
    </xf>
    <xf numFmtId="0" fontId="3" fillId="3"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2" fillId="0" borderId="0" pivotButton="0" quotePrefix="0" xfId="0"/>
    <xf numFmtId="0" fontId="6" fillId="0" borderId="0" pivotButton="0" quotePrefix="0" xfId="0"/>
    <xf numFmtId="3" fontId="0" fillId="5" borderId="1" pivotButton="0" quotePrefix="0" xfId="0"/>
    <xf numFmtId="164" fontId="0" fillId="5" borderId="1" pivotButton="0" quotePrefix="0" xfId="0"/>
    <xf numFmtId="2" fontId="0" fillId="5" borderId="1" pivotButton="0" quotePrefix="0" xfId="0"/>
    <xf numFmtId="9" fontId="0" fillId="5" borderId="1" pivotButton="0" quotePrefix="0" xfId="0"/>
    <xf numFmtId="0" fontId="4" fillId="0" borderId="0" pivotButton="0" quotePrefix="0" xfId="0"/>
    <xf numFmtId="0" fontId="0" fillId="0" borderId="0" applyAlignment="1" pivotButton="0" quotePrefix="0" xfId="0">
      <alignment wrapText="1"/>
    </xf>
    <xf numFmtId="0" fontId="7" fillId="0" borderId="1" pivotButton="0" quotePrefix="0" xfId="0"/>
    <xf numFmtId="0" fontId="2" fillId="0" borderId="1" pivotButton="0" quotePrefix="0" xfId="0"/>
    <xf numFmtId="165" fontId="0" fillId="5" borderId="1" pivotButton="0" quotePrefix="0" xfId="0"/>
    <xf numFmtId="166" fontId="0" fillId="5" borderId="1" pivotButton="0" quotePrefix="0" xfId="0"/>
    <xf numFmtId="164" fontId="0" fillId="0" borderId="1" pivotButton="0" quotePrefix="0" xfId="0"/>
    <xf numFmtId="164" fontId="7" fillId="4" borderId="1" pivotButton="0" quotePrefix="0" xfId="0"/>
    <xf numFmtId="165" fontId="7" fillId="0" borderId="1" pivotButton="0" quotePrefix="0" xfId="0"/>
    <xf numFmtId="9" fontId="0" fillId="0" borderId="1" pivotButton="0" quotePrefix="0" xfId="0"/>
    <xf numFmtId="0" fontId="8" fillId="0" borderId="0" applyAlignment="1" pivotButton="0" quotePrefix="0" xfId="0">
      <alignment wrapText="1"/>
    </xf>
    <xf numFmtId="0" fontId="3" fillId="3" borderId="1" pivotButton="0" quotePrefix="0" xfId="0"/>
    <xf numFmtId="0" fontId="7"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0" applyAlignment="1" pivotButton="0" quotePrefix="0" xfId="0">
      <alignment wrapText="1"/>
    </xf>
    <xf numFmtId="0" fontId="13" fillId="0" borderId="1" pivotButton="0" quotePrefix="0" xfId="0"/>
  </cellXfs>
  <cellStyles count="1">
    <cellStyle name="Normal" xfId="0" builtinId="0" hidden="0"/>
  </cellStyles>
  <dxfs count="3">
    <dxf>
      <fill>
        <patternFill patternType="solid">
          <fgColor rgb="00C8E6C9"/>
        </patternFill>
      </fill>
    </dxf>
    <dxf>
      <fill>
        <patternFill patternType="solid">
          <fgColor rgb="00FFE0B2"/>
        </patternFill>
      </fill>
    </dxf>
    <dxf>
      <fill>
        <patternFill patternType="solid">
          <f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research.contrary.com/company/crusoe" TargetMode="External" Id="rId1"/><Relationship Type="http://schemas.openxmlformats.org/officeDocument/2006/relationships/hyperlink" Target="https://www.solunacomputing.com/news/2025-results/" TargetMode="External" Id="rId2"/><Relationship Type="http://schemas.openxmlformats.org/officeDocument/2006/relationships/hyperlink" Target="https://bravenewcoin.com/insights/bitcoin-miner-iren-lands-9-7-billion-microsoft-deal-for-ai-infrastructure" TargetMode="External" Id="rId3"/><Relationship Type="http://schemas.openxmlformats.org/officeDocument/2006/relationships/hyperlink" Target="https://ecodatacenter.tech/press/ecodatacenter-raises-an-additional-eur-600-million-3402903" TargetMode="External" Id="rId4"/><Relationship Type="http://schemas.openxmlformats.org/officeDocument/2006/relationships/hyperlink" Target="https://www.prnewswire.com/news-releases/lanciums-fort-stockton-facility-qualifies-as-ercot-controllable-load-resource-301666372.html" TargetMode="External" Id="rId5"/><Relationship Type="http://schemas.openxmlformats.org/officeDocument/2006/relationships/hyperlink" Target="https://community.salad.com/sell-gpu-power/" TargetMode="External" Id="rId6"/><Relationship Type="http://schemas.openxmlformats.org/officeDocument/2006/relationships/hyperlink" Target="https://getlatka.com/companies/salad-technologies" TargetMode="External" Id="rId7"/><Relationship Type="http://schemas.openxmlformats.org/officeDocument/2006/relationships/hyperlink" Target="https://vast.ai/article/how-much-money-can-you-earn-renting-out-your-gpu-on-vast-ai" TargetMode="External" Id="rId8"/><Relationship Type="http://schemas.openxmlformats.org/officeDocument/2006/relationships/hyperlink" Target="https://messari.io/report/state-of-akash-q3-2025" TargetMode="External" Id="rId9"/><Relationship Type="http://schemas.openxmlformats.org/officeDocument/2006/relationships/hyperlink" Target="https://thenextweb.com/news/deep-green-octopus-energy-swimming-pools-data-centre" TargetMode="External" Id="rId10"/><Relationship Type="http://schemas.openxmlformats.org/officeDocument/2006/relationships/hyperlink" Target="https://www.datacenterdynamics.com/en/news/hpc-cloud-provider-qarnot-gets-funding-from-european-innovation-council/" TargetMode="External" Id="rId11"/><Relationship Type="http://schemas.openxmlformats.org/officeDocument/2006/relationships/hyperlink" Target="https://www.centrica.com/media-centre/news/2025/british-gas-partners-with-heata-on-trial-to-reuse-waste-heat-from-data-processing/" TargetMode="External" Id="rId12"/><Relationship Type="http://schemas.openxmlformats.org/officeDocument/2006/relationships/hyperlink" Target="https://www.districtenergy.org/blogs/district-energy/2024/04/16/how-a-startup-is-supplying-a-whole-city-with-heat" TargetMode="External" Id="rId13"/><Relationship Type="http://schemas.openxmlformats.org/officeDocument/2006/relationships/hyperlink" Target="https://stockholmdataparks.com/" TargetMode="External" Id="rId14"/><Relationship Type="http://schemas.openxmlformats.org/officeDocument/2006/relationships/hyperlink" Target="https://greenmountain.no/data-center-heat-reuse/" TargetMode="External" Id="rId15"/><Relationship Type="http://schemas.openxmlformats.org/officeDocument/2006/relationships/hyperlink" Target="https://www.globenewswire.com/news-releases/2025/01/28/3016567/0/en/Innovation-Infomaniak-inaugurates-a-data-center-that-recycles-100-of-its-energy-and-will-heat-6-000-households-a-year-for-at-least-20-years.html" TargetMode="External" Id="rId16"/><Relationship Type="http://schemas.openxmlformats.org/officeDocument/2006/relationships/hyperlink" Target="https://www.carbontracker.org/" TargetMode="External" Id="rId17"/><Relationship Type="http://schemas.openxmlformats.org/officeDocument/2006/relationships/hyperlink" Target="https://www.nationalgrideso.com/industry-information/balancing-services" TargetMode="External" Id="rId18"/><Relationship Type="http://schemas.openxmlformats.org/officeDocument/2006/relationships/hyperlink" Target="https://energy-solutions.co/articles/sub/data-center-waste-heat-district-heating" TargetMode="External" Id="rId19"/></Relationships>
</file>

<file path=xl/worksheets/sheet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0" customWidth="1" min="3" max="3"/>
    <col width="30" customWidth="1" min="4" max="4"/>
    <col width="30" customWidth="1" min="5" max="5"/>
  </cols>
  <sheetData>
    <row r="1">
      <c r="A1" s="1" t="inlineStr">
        <is>
          <t>How it could actually work — 4 levers, each proven by a real operator</t>
        </is>
      </c>
      <c r="B1" s="2" t="n"/>
      <c r="C1" s="2" t="n"/>
      <c r="D1" s="2" t="n"/>
      <c r="E1" s="2" t="n"/>
      <c r="F1" s="2" t="n"/>
      <c r="G1" s="2" t="n"/>
      <c r="H1" s="2" t="n"/>
      <c r="I1" s="2" t="n"/>
      <c r="J1" s="2" t="n"/>
      <c r="K1" s="2" t="n"/>
      <c r="L1" s="2" t="n"/>
      <c r="M1" s="2" t="n"/>
    </row>
    <row r="2" ht="30" customHeight="1">
      <c r="A2" s="3" t="inlineStr">
        <is>
          <t>The spot-rental floor (buy GPUs, rent on Vast, give heat free) does NOT pay back in 1–2 yrs. Every PROFITABLE operator pulls these levers instead. See the 'Scenarios' tab for the numbers, 'Real Businesses' for the evidence.</t>
        </is>
      </c>
    </row>
    <row r="4" ht="18" customHeight="1">
      <c r="A4" s="4" t="inlineStr">
        <is>
          <t>LEVER</t>
        </is>
      </c>
      <c r="B4" s="4" t="inlineStr">
        <is>
          <t>What it does</t>
        </is>
      </c>
      <c r="C4" s="4" t="inlineStr">
        <is>
          <t>Why it works</t>
        </is>
      </c>
      <c r="D4" s="4" t="inlineStr">
        <is>
          <t>Proven by</t>
        </is>
      </c>
      <c r="E4" s="4" t="inlineStr">
        <is>
          <t>UK route for you</t>
        </is>
      </c>
    </row>
    <row r="5" ht="72" customHeight="1">
      <c r="A5" s="5" t="inlineStr">
        <is>
          <t>1. CHEAP / STRANDED POWER</t>
        </is>
      </c>
      <c r="B5" s="6" t="inlineStr">
        <is>
          <t>Run on behind-the-meter renewable power at near-zero marginal cost instead of 25p grid</t>
        </is>
      </c>
      <c r="C5" s="6" t="inlineStr">
        <is>
          <t>Electricity is 30–50% of opex at high utilisation. Crusoe/Soluna pay ~3p vs 25p — the single biggest lever</t>
        </is>
      </c>
      <c r="D5" s="6" t="inlineStr">
        <is>
          <t>Crusoe (stranded gas, $998M rev), Soluna (curtailed wind ~3p), IREN, EcoDataCenter (Swedish hydro)</t>
        </is>
      </c>
      <c r="E5" s="6" t="inlineStr">
        <is>
          <t>Your friend's 400 SOLAR SCHOOLS (behind-meter summer surplus ~0–12p); or curtailed Scottish wind (~900 GWh/yr wasted)</t>
        </is>
      </c>
    </row>
    <row r="6" ht="72" customHeight="1">
      <c r="A6" s="5" t="inlineStr">
        <is>
          <t>2. CONTRACTED / OWN DEMAND</t>
        </is>
      </c>
      <c r="B6" s="6" t="inlineStr">
        <is>
          <t>Sell to a committed customer or your own token endpoint — NOT the spot market</t>
        </is>
      </c>
      <c r="C6" s="6" t="inlineStr">
        <is>
          <t>Lifts utilisation from ~55% (spot) to 85–95%, and stabilises the rate. Spot occupancy is the killer uncertainty</t>
        </is>
      </c>
      <c r="D6" s="6" t="inlineStr">
        <is>
          <t>Crusoe (Oracle 15-yr lease), IREN (Microsoft $9.7bn), Soluna (single-tenant LT), Qarnot (enterprise HPC)</t>
        </is>
      </c>
      <c r="E6" s="6" t="inlineStr">
        <is>
          <t>Phase 2 token-serving (OpenRouter provider), or one anchor compute customer before you scale</t>
        </is>
      </c>
    </row>
    <row r="7" ht="72" customHeight="1">
      <c r="A7" s="5" t="inlineStr">
        <is>
          <t>3. GRID SERVICES</t>
        </is>
      </c>
      <c r="B7" s="6" t="inlineStr">
        <is>
          <t>Get PAID by the grid to be a flexible load that can curtail on demand</t>
        </is>
      </c>
      <c r="C7" s="6" t="inlineStr">
        <is>
          <t>A second revenue line for hardware you already own; material at MW scale</t>
        </is>
      </c>
      <c r="D7" s="6" t="inlineStr">
        <is>
          <t>Soluna (ERCOT demand response), Lancium (CLR ancillary services + Smart Response licensing)</t>
        </is>
      </c>
      <c r="E7" s="6" t="inlineStr">
        <is>
          <t>UK Demand Side Response / Balancing Mechanism / Capacity Market (~£40–150/kW/yr) via a licensed aggregator</t>
        </is>
      </c>
    </row>
    <row r="8" ht="72" customHeight="1">
      <c r="A8" s="5" t="inlineStr">
        <is>
          <t>4. HEAT FOR SITING</t>
        </is>
      </c>
      <c r="B8" s="6" t="inlineStr">
        <is>
          <t>Give heat free to a host who displaces expensive heating; you get free site + free cooling</t>
        </is>
      </c>
      <c r="C8" s="6" t="inlineStr">
        <is>
          <t>Eliminates ~30–40% cooling opex AND buys zero-rent siting. Heat SALE to a utility is tiny (£3–7/MWh); heat DISPLACEMENT to the host is worth 4p (gas) to 25p (electric)</t>
        </is>
      </c>
      <c r="D8" s="6" t="inlineStr">
        <is>
          <t>Deep Green (pools, £200m Octopus), Qarnot (buildings), Heata (homes), MintGreen (sells heat to utility)</t>
        </is>
      </c>
      <c r="E8" s="6" t="inlineStr">
        <is>
          <t>Pools (Deep Green's space — avoid), care homes / laundries (electric heat = 25p displaced = valuable), schools</t>
        </is>
      </c>
    </row>
    <row r="9" ht="72" customHeight="1">
      <c r="A9" s="7" t="inlineStr">
        <is>
          <t>THE SYNTHESIS</t>
        </is>
      </c>
      <c r="B9" s="8" t="inlineStr">
        <is>
          <t>Stack levers 1+2 (+3,+4). That is what every profitable operator does.</t>
        </is>
      </c>
      <c r="C9" s="8" t="inlineStr">
        <is>
          <t>Spot+grid floor = ~58 mo. Cheap power + contracted demand = ~17–20 mo. Heat &amp; grid services trim further.</t>
        </is>
      </c>
      <c r="D9" s="8" t="inlineStr">
        <is>
          <t>Crusoe / Soluna / EcoDataCenter all = cheap power + contracted demand. None runs spot-rental.</t>
        </is>
      </c>
      <c r="E9" s="8" t="inlineStr">
        <is>
          <t>Schools (cheap solar power + heat siting) + your own contracted compute = the viable UK business</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c r="A1" s="1" t="inlineStr">
        <is>
          <t>Assumptions — the common hardware unit (edit yellow)</t>
        </is>
      </c>
      <c r="B1" s="2" t="n"/>
      <c r="C1" s="2" t="n"/>
      <c r="D1" s="2" t="n"/>
      <c r="E1" s="2" t="n"/>
      <c r="F1" s="2" t="n"/>
      <c r="G1" s="2" t="n"/>
      <c r="H1" s="2" t="n"/>
      <c r="I1" s="2" t="n"/>
      <c r="J1" s="2" t="n"/>
      <c r="K1" s="2" t="n"/>
      <c r="L1" s="2" t="n"/>
      <c r="M1" s="2" t="n"/>
    </row>
    <row r="2">
      <c r="A2" s="9" t="inlineStr">
        <is>
          <t>One deployment unit = a 6× RTX 4090 box (audited capex from the floor model). Switch GPU/capex here; the Scenarios tab recomputes.</t>
        </is>
      </c>
    </row>
    <row r="4">
      <c r="A4" s="10" t="inlineStr">
        <is>
          <t>HARDWARE UNIT (audited 7 Jun 2026)</t>
        </is>
      </c>
    </row>
    <row r="5">
      <c r="A5" t="inlineStr">
        <is>
          <t>GPUs per box</t>
        </is>
      </c>
      <c r="B5" s="11" t="n">
        <v>6</v>
      </c>
    </row>
    <row r="6">
      <c r="A6" t="inlineStr">
        <is>
          <t>Capex per box, fully loaded £</t>
        </is>
      </c>
      <c r="B6" s="12" t="n">
        <v>15200</v>
      </c>
      <c r="C6" s="9" t="inlineStr">
        <is>
          <t>6× RTX 4090 @ £1,843 + box + heat recovery + install (see floor-model BoM)</t>
        </is>
      </c>
    </row>
    <row r="7">
      <c r="A7" t="inlineStr">
        <is>
          <t>Power draw per box (kW)</t>
        </is>
      </c>
      <c r="B7" s="13" t="n">
        <v>2.7</v>
      </c>
    </row>
    <row r="8">
      <c r="A8" t="inlineStr">
        <is>
          <t>Maintenance (% of capex / yr)</t>
        </is>
      </c>
      <c r="B8" s="14" t="n">
        <v>0.05</v>
      </c>
    </row>
    <row r="9">
      <c r="A9" t="inlineStr">
        <is>
          <t>Other opex (£/box/yr)</t>
        </is>
      </c>
      <c r="B9" s="12" t="n">
        <v>150</v>
      </c>
    </row>
    <row r="10">
      <c r="A10" t="inlineStr">
        <is>
          <t>Hours per year</t>
        </is>
      </c>
      <c r="B10" s="11" t="n">
        <v>8760</v>
      </c>
    </row>
    <row r="11">
      <c r="A11" t="inlineStr">
        <is>
          <t>tok/s per GPU (Llama-3.1-8B, for token mode)</t>
        </is>
      </c>
      <c r="B11" s="11" t="n">
        <v>120</v>
      </c>
    </row>
    <row r="14">
      <c r="A14" s="10" t="inlineStr">
        <is>
          <t>THE LEVER MENU (what each scenario draws from)</t>
        </is>
      </c>
    </row>
    <row r="15" ht="26" customHeight="1">
      <c r="A15" s="15" t="inlineStr">
        <is>
          <t>POWER (p/kWh)</t>
        </is>
      </c>
      <c r="B15" s="16" t="inlineStr">
        <is>
          <t>grid cap ~25 · cheap PPA ~8 · curtailed behind-meter ~3 · free solar surplus ~0</t>
        </is>
      </c>
    </row>
    <row r="16" ht="26" customHeight="1">
      <c r="A16" s="15" t="inlineStr">
        <is>
          <t>DEMAND → utilisation</t>
        </is>
      </c>
      <c r="B16" s="16" t="inlineStr">
        <is>
          <t>spot ~55% · token (own endpoint) ~85% · contracted ~90%</t>
        </is>
      </c>
    </row>
    <row r="17" ht="26" customHeight="1">
      <c r="A17" s="15" t="inlineStr">
        <is>
          <t>RATE</t>
        </is>
      </c>
      <c r="B17" s="16" t="inlineStr">
        <is>
          <t>spot rental host £0.25/hr · token £0.55/M ≈ £0.24/hr-equiv (120 tok/s)</t>
        </is>
      </c>
    </row>
    <row r="18" ht="26" customHeight="1">
      <c r="A18" s="15" t="inlineStr">
        <is>
          <t>GRID SERVICES</t>
        </is>
      </c>
      <c r="B18" s="16" t="inlineStr">
        <is>
          <t>UK DSR / Balancing Mechanism / Capacity Market ~£40–150/kW/yr (bigger at MW scale)</t>
        </is>
      </c>
    </row>
    <row r="19" ht="26" customHeight="1">
      <c r="A19" s="15" t="inlineStr">
        <is>
          <t>HEAT (siting, not your revenue)</t>
        </is>
      </c>
      <c r="B19" s="16" t="inlineStr">
        <is>
          <t>displaced value to host: gas ~4p · pool heat-pump ~5.5p · electric ~25p /kWh</t>
        </is>
      </c>
    </row>
    <row r="22">
      <c r="A22" s="3" t="inlineStr">
        <is>
          <t>Heat note: SELLING heat to a district network is tiny (£3–7/MWh). Heat's real value is DISPLACING the host's heating (gas 4p, electric 25p) — given free, it buys the cheap-power site + free cooling. That's why it's a siting lever, not a revenue line.</t>
        </is>
      </c>
    </row>
    <row r="23"/>
  </sheetData>
  <mergeCells count="6">
    <mergeCell ref="B17:E17"/>
    <mergeCell ref="B18:E18"/>
    <mergeCell ref="B16:E16"/>
    <mergeCell ref="B15:E15"/>
    <mergeCell ref="B19:E19"/>
    <mergeCell ref="A22:E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9" customWidth="1" min="3" max="3"/>
    <col width="7" customWidth="1" min="4" max="4"/>
    <col width="11" customWidth="1" min="5" max="5"/>
    <col width="11" customWidth="1" min="6" max="6"/>
    <col width="11" customWidth="1" min="7" max="7"/>
    <col width="11" customWidth="1" min="8" max="8"/>
    <col width="10" customWidth="1" min="9" max="9"/>
    <col width="11" customWidth="1" min="10" max="10"/>
    <col width="11" customWidth="1" min="11" max="11"/>
    <col width="9" customWidth="1" min="12" max="12"/>
    <col width="10" customWidth="1" min="13" max="13"/>
  </cols>
  <sheetData>
    <row r="1">
      <c r="A1" s="1" t="inlineStr">
        <is>
          <t>Scenarios — same box, different business model (each grounded in a real operator)</t>
        </is>
      </c>
      <c r="B1" s="2" t="n"/>
      <c r="C1" s="2" t="n"/>
      <c r="D1" s="2" t="n"/>
      <c r="E1" s="2" t="n"/>
      <c r="F1" s="2" t="n"/>
      <c r="G1" s="2" t="n"/>
      <c r="H1" s="2" t="n"/>
      <c r="I1" s="2" t="n"/>
      <c r="J1" s="2" t="n"/>
      <c r="K1" s="2" t="n"/>
      <c r="L1" s="2" t="n"/>
      <c r="M1" s="2" t="n"/>
    </row>
    <row r="2" ht="26" customHeight="1">
      <c r="A2" s="3" t="inlineStr">
        <is>
          <t>Yellow = the levers (edit them). Net/Payback/ROC compute live off the Assumptions box. The story: spot+grid = floor; cheap power + contracted demand = viable.</t>
        </is>
      </c>
    </row>
    <row r="4" ht="40" customHeight="1">
      <c r="A4" s="4" t="inlineStr">
        <is>
          <t>Scenario</t>
        </is>
      </c>
      <c r="B4" s="4" t="inlineStr">
        <is>
          <t>Based on</t>
        </is>
      </c>
      <c r="C4" s="4" t="inlineStr">
        <is>
          <t>Power p/kWh</t>
        </is>
      </c>
      <c r="D4" s="4" t="inlineStr">
        <is>
          <t>Util %</t>
        </is>
      </c>
      <c r="E4" s="4" t="inlineStr">
        <is>
          <t>Eff £/hr/GPU</t>
        </is>
      </c>
      <c r="F4" s="4" t="inlineStr">
        <is>
          <t>Grid svc £/yr</t>
        </is>
      </c>
      <c r="G4" s="4" t="inlineStr">
        <is>
          <t>Software £/yr</t>
        </is>
      </c>
      <c r="H4" s="4" t="inlineStr">
        <is>
          <t>Revenue £/yr</t>
        </is>
      </c>
      <c r="I4" s="4" t="inlineStr">
        <is>
          <t>Power £/yr</t>
        </is>
      </c>
      <c r="J4" s="4" t="inlineStr">
        <is>
          <t>NET £/yr</t>
        </is>
      </c>
      <c r="K4" s="4" t="inlineStr">
        <is>
          <t>Payback (mo)</t>
        </is>
      </c>
      <c r="L4" s="4" t="inlineStr">
        <is>
          <t>ROC %/yr</t>
        </is>
      </c>
      <c r="M4" s="4" t="inlineStr">
        <is>
          <t>Verdict</t>
        </is>
      </c>
    </row>
    <row r="5">
      <c r="A5" s="17" t="inlineStr">
        <is>
          <t>Spot floor (the trap)</t>
        </is>
      </c>
      <c r="B5" s="18" t="inlineStr">
        <is>
          <t>Vast.ai spot</t>
        </is>
      </c>
      <c r="C5" s="19" t="n">
        <v>25</v>
      </c>
      <c r="D5" s="14" t="n">
        <v>0.55</v>
      </c>
      <c r="E5" s="20" t="n">
        <v>0.252</v>
      </c>
      <c r="F5" s="12" t="n">
        <v>0</v>
      </c>
      <c r="G5" s="12" t="n">
        <v>0</v>
      </c>
      <c r="H5" s="21">
        <f>Assumptions!$B$5*E5*D5*Assumptions!$B$10</f>
        <v/>
      </c>
      <c r="I5" s="21">
        <f>Assumptions!$B$7*Assumptions!$B$10*D5*(C5/100)</f>
        <v/>
      </c>
      <c r="J5" s="22">
        <f>H5+F5-I5-G5-Assumptions!$B$6*Assumptions!$B$8-Assumptions!$B$9</f>
        <v/>
      </c>
      <c r="K5" s="23">
        <f>IF(J5&gt;0,Assumptions!$B$6/J5*12,"never")</f>
        <v/>
      </c>
      <c r="L5" s="24">
        <f>J5/Assumptions!$B$6</f>
        <v/>
      </c>
      <c r="M5" s="17">
        <f>IF(K5&lt;=24,"viable",IF(K5&lt;=36,"marginal","fails"))</f>
        <v/>
      </c>
    </row>
    <row r="6">
      <c r="A6" s="17" t="inlineStr">
        <is>
          <t>Token, GRID power</t>
        </is>
      </c>
      <c r="B6" s="18" t="inlineStr">
        <is>
          <t>Qarnot w/o cheap power</t>
        </is>
      </c>
      <c r="C6" s="19" t="n">
        <v>25</v>
      </c>
      <c r="D6" s="14" t="n">
        <v>0.85</v>
      </c>
      <c r="E6" s="20" t="n">
        <v>0.238</v>
      </c>
      <c r="F6" s="12" t="n">
        <v>0</v>
      </c>
      <c r="G6" s="12" t="n">
        <v>1000</v>
      </c>
      <c r="H6" s="21">
        <f>Assumptions!$B$5*E6*D6*Assumptions!$B$10</f>
        <v/>
      </c>
      <c r="I6" s="21">
        <f>Assumptions!$B$7*Assumptions!$B$10*D6*(C6/100)</f>
        <v/>
      </c>
      <c r="J6" s="22">
        <f>H6+F6-I6-G6-Assumptions!$B$6*Assumptions!$B$8-Assumptions!$B$9</f>
        <v/>
      </c>
      <c r="K6" s="23">
        <f>IF(J6&gt;0,Assumptions!$B$6/J6*12,"never")</f>
        <v/>
      </c>
      <c r="L6" s="24">
        <f>J6/Assumptions!$B$6</f>
        <v/>
      </c>
      <c r="M6" s="17">
        <f>IF(K6&lt;=24,"viable",IF(K6&lt;=36,"marginal","fails"))</f>
        <v/>
      </c>
    </row>
    <row r="7">
      <c r="A7" s="17" t="inlineStr">
        <is>
          <t>Token, CHEAP power</t>
        </is>
      </c>
      <c r="B7" s="18" t="inlineStr">
        <is>
          <t>Qarnot + Crusoe</t>
        </is>
      </c>
      <c r="C7" s="19" t="n">
        <v>8</v>
      </c>
      <c r="D7" s="14" t="n">
        <v>0.85</v>
      </c>
      <c r="E7" s="20" t="n">
        <v>0.238</v>
      </c>
      <c r="F7" s="12" t="n">
        <v>0</v>
      </c>
      <c r="G7" s="12" t="n">
        <v>1000</v>
      </c>
      <c r="H7" s="21">
        <f>Assumptions!$B$5*E7*D7*Assumptions!$B$10</f>
        <v/>
      </c>
      <c r="I7" s="21">
        <f>Assumptions!$B$7*Assumptions!$B$10*D7*(C7/100)</f>
        <v/>
      </c>
      <c r="J7" s="22">
        <f>H7+F7-I7-G7-Assumptions!$B$6*Assumptions!$B$8-Assumptions!$B$9</f>
        <v/>
      </c>
      <c r="K7" s="23">
        <f>IF(J7&gt;0,Assumptions!$B$6/J7*12,"never")</f>
        <v/>
      </c>
      <c r="L7" s="24">
        <f>J7/Assumptions!$B$6</f>
        <v/>
      </c>
      <c r="M7" s="17">
        <f>IF(K7&lt;=24,"viable",IF(K7&lt;=36,"marginal","fails"))</f>
        <v/>
      </c>
    </row>
    <row r="8">
      <c r="A8" s="17" t="inlineStr">
        <is>
          <t>Contracted + host power</t>
        </is>
      </c>
      <c r="B8" s="18" t="inlineStr">
        <is>
          <t>Deep Green (UK)</t>
        </is>
      </c>
      <c r="C8" s="19" t="n">
        <v>8</v>
      </c>
      <c r="D8" s="14" t="n">
        <v>0.9</v>
      </c>
      <c r="E8" s="20" t="n">
        <v>0.252</v>
      </c>
      <c r="F8" s="12" t="n">
        <v>0</v>
      </c>
      <c r="G8" s="12" t="n">
        <v>0</v>
      </c>
      <c r="H8" s="21">
        <f>Assumptions!$B$5*E8*D8*Assumptions!$B$10</f>
        <v/>
      </c>
      <c r="I8" s="21">
        <f>Assumptions!$B$7*Assumptions!$B$10*D8*(C8/100)</f>
        <v/>
      </c>
      <c r="J8" s="22">
        <f>H8+F8-I8-G8-Assumptions!$B$6*Assumptions!$B$8-Assumptions!$B$9</f>
        <v/>
      </c>
      <c r="K8" s="23">
        <f>IF(J8&gt;0,Assumptions!$B$6/J8*12,"never")</f>
        <v/>
      </c>
      <c r="L8" s="24">
        <f>J8/Assumptions!$B$6</f>
        <v/>
      </c>
      <c r="M8" s="17">
        <f>IF(K8&lt;=24,"viable",IF(K8&lt;=36,"marginal","fails"))</f>
        <v/>
      </c>
    </row>
    <row r="9">
      <c r="A9" s="17" t="inlineStr">
        <is>
          <t>Contracted + curtailed power</t>
        </is>
      </c>
      <c r="B9" s="18" t="inlineStr">
        <is>
          <t>Crusoe / IREN (UK)</t>
        </is>
      </c>
      <c r="C9" s="19" t="n">
        <v>3</v>
      </c>
      <c r="D9" s="14" t="n">
        <v>0.9</v>
      </c>
      <c r="E9" s="20" t="n">
        <v>0.252</v>
      </c>
      <c r="F9" s="12" t="n">
        <v>0</v>
      </c>
      <c r="G9" s="12" t="n">
        <v>0</v>
      </c>
      <c r="H9" s="21">
        <f>Assumptions!$B$5*E9*D9*Assumptions!$B$10</f>
        <v/>
      </c>
      <c r="I9" s="21">
        <f>Assumptions!$B$7*Assumptions!$B$10*D9*(C9/100)</f>
        <v/>
      </c>
      <c r="J9" s="22">
        <f>H9+F9-I9-G9-Assumptions!$B$6*Assumptions!$B$8-Assumptions!$B$9</f>
        <v/>
      </c>
      <c r="K9" s="23">
        <f>IF(J9&gt;0,Assumptions!$B$6/J9*12,"never")</f>
        <v/>
      </c>
      <c r="L9" s="24">
        <f>J9/Assumptions!$B$6</f>
        <v/>
      </c>
      <c r="M9" s="17">
        <f>IF(K9&lt;=24,"viable",IF(K9&lt;=36,"marginal","fails"))</f>
        <v/>
      </c>
    </row>
    <row r="10">
      <c r="A10" s="17" t="inlineStr">
        <is>
          <t>Contracted + curtailed + grid svc</t>
        </is>
      </c>
      <c r="B10" s="18" t="inlineStr">
        <is>
          <t>Soluna / Lancium (UK)</t>
        </is>
      </c>
      <c r="C10" s="19" t="n">
        <v>3</v>
      </c>
      <c r="D10" s="14" t="n">
        <v>0.9</v>
      </c>
      <c r="E10" s="20" t="n">
        <v>0.252</v>
      </c>
      <c r="F10" s="12" t="n">
        <v>162</v>
      </c>
      <c r="G10" s="12" t="n">
        <v>0</v>
      </c>
      <c r="H10" s="21">
        <f>Assumptions!$B$5*E10*D10*Assumptions!$B$10</f>
        <v/>
      </c>
      <c r="I10" s="21">
        <f>Assumptions!$B$7*Assumptions!$B$10*D10*(C10/100)</f>
        <v/>
      </c>
      <c r="J10" s="22">
        <f>H10+F10-I10-G10-Assumptions!$B$6*Assumptions!$B$8-Assumptions!$B$9</f>
        <v/>
      </c>
      <c r="K10" s="23">
        <f>IF(J10&gt;0,Assumptions!$B$6/J10*12,"never")</f>
        <v/>
      </c>
      <c r="L10" s="24">
        <f>J10/Assumptions!$B$6</f>
        <v/>
      </c>
      <c r="M10" s="17">
        <f>IF(K10&lt;=24,"viable",IF(K10&lt;=36,"marginal","fails"))</f>
        <v/>
      </c>
    </row>
    <row r="12" ht="42" customHeight="1">
      <c r="A12" s="3" t="inlineStr">
        <is>
          <t>READ IT TOP-TO-BOTTOM: the spot floor fails (~58 mo). Token only works with cheap power. The two viable rows are CONTRACTED DEMAND + CHEAP POWER (~17–20 mo) — exactly what Crusoe, Soluna, IREN and EcoDataCenter all do. Heat buys the cheap-power site; grid services + heat trim the rest.</t>
        </is>
      </c>
    </row>
    <row r="13" ht="42" customHeight="1">
      <c r="A13" s="25" t="inlineStr">
        <is>
          <t>Honest caveat: the viable rows REQUIRE you to secure (a) cheap behind-the-meter power AND (b) contracted/own high-utilisation demand. Neither is free. The schools+solar channel gives (a); Phase-2 token-serving or one anchor customer gives (b). Without both, you're on the floor.</t>
        </is>
      </c>
    </row>
  </sheetData>
  <mergeCells count="3">
    <mergeCell ref="A13:M13"/>
    <mergeCell ref="A2:M2"/>
    <mergeCell ref="A12:M12"/>
  </mergeCells>
  <conditionalFormatting sqref="M5:M10">
    <cfRule type="cellIs" priority="1" operator="equal" dxfId="0">
      <formula>"viable"</formula>
    </cfRule>
    <cfRule type="cellIs" priority="2" operator="equal" dxfId="1">
      <formula>"marginal"</formula>
    </cfRule>
    <cfRule type="cellIs" priority="3" operator="equal" dxfId="2">
      <formula>"fails"</formula>
    </cfRule>
  </conditionalFormatting>
  <conditionalFormatting sqref="K5:K10">
    <cfRule type="cellIs" priority="4" operator="lessThanOrEqual" dxfId="0">
      <formula>24</formula>
    </cfRule>
    <cfRule type="cellIs" priority="5" operator="greaterThan" dxfId="2">
      <formula>36</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1" t="inlineStr">
        <is>
          <t>The evidence — global operators (researched 7 Jun 2026)</t>
        </is>
      </c>
      <c r="B1" s="2" t="n"/>
      <c r="C1" s="2" t="n"/>
      <c r="D1" s="2" t="n"/>
      <c r="E1" s="2" t="n"/>
      <c r="F1" s="2" t="n"/>
      <c r="G1" s="2" t="n"/>
      <c r="H1" s="2" t="n"/>
      <c r="I1" s="2" t="n"/>
      <c r="J1" s="2" t="n"/>
      <c r="K1" s="2" t="n"/>
      <c r="L1" s="2" t="n"/>
      <c r="M1" s="2" t="n"/>
    </row>
    <row r="2">
      <c r="A2" s="3" t="inlineStr">
        <is>
          <t>Funding ≠ profitable. 'Proven?' flags genuine revenue vs VC bet. The heat pure-plays validate the concept; the profitable ones run cheap power + contracted demand.</t>
        </is>
      </c>
    </row>
    <row r="4">
      <c r="A4" s="26" t="inlineStr">
        <is>
          <t>Company</t>
        </is>
      </c>
      <c r="B4" s="26" t="inlineStr">
        <is>
          <t>Country</t>
        </is>
      </c>
      <c r="C4" s="26" t="inlineStr">
        <is>
          <t>Type</t>
        </is>
      </c>
      <c r="D4" s="26" t="inlineStr">
        <is>
          <t>Power</t>
        </is>
      </c>
      <c r="E4" s="26" t="inlineStr">
        <is>
          <t>Demand</t>
        </is>
      </c>
      <c r="F4" s="26" t="inlineStr">
        <is>
          <t>Heat</t>
        </is>
      </c>
      <c r="G4" s="26" t="inlineStr">
        <is>
          <t>Funding / scale</t>
        </is>
      </c>
      <c r="H4" s="26" t="inlineStr">
        <is>
          <t>Proven?</t>
        </is>
      </c>
    </row>
    <row r="5" ht="42" customHeight="1">
      <c r="A5" s="27" t="inlineStr">
        <is>
          <t>Crusoe</t>
        </is>
      </c>
      <c r="B5" s="6" t="inlineStr">
        <is>
          <t>USA</t>
        </is>
      </c>
      <c r="C5" s="6" t="inlineStr">
        <is>
          <t>Asset-heavy</t>
        </is>
      </c>
      <c r="D5" s="6" t="inlineStr">
        <is>
          <t>Stranded gas / curtailed renewables (BTM)</t>
        </is>
      </c>
      <c r="E5" s="6" t="inlineStr">
        <is>
          <t>Hyperscale lease (Oracle 15yr) + GPUaaS</t>
        </is>
      </c>
      <c r="F5" s="6" t="inlineStr">
        <is>
          <t>none</t>
        </is>
      </c>
      <c r="G5" s="6" t="inlineStr">
        <is>
          <t>$3.9bn raised; ~$998M rev 2025</t>
        </is>
      </c>
      <c r="H5" s="28" t="inlineStr">
        <is>
          <t>Yes — biggest credible build; pre-profit</t>
        </is>
      </c>
    </row>
    <row r="6" ht="42" customHeight="1">
      <c r="A6" s="27" t="inlineStr">
        <is>
          <t>IREN</t>
        </is>
      </c>
      <c r="B6" s="6" t="inlineStr">
        <is>
          <t>Australia/USA</t>
        </is>
      </c>
      <c r="C6" s="6" t="inlineStr">
        <is>
          <t>Asset-heavy</t>
        </is>
      </c>
      <c r="D6" s="6" t="inlineStr">
        <is>
          <t>Renewables PPA + energy trading</t>
        </is>
      </c>
      <c r="E6" s="6" t="inlineStr">
        <is>
          <t>Microsoft $9.7bn contract</t>
        </is>
      </c>
      <c r="F6" s="6" t="inlineStr">
        <is>
          <t>none</t>
        </is>
      </c>
      <c r="G6" s="6" t="inlineStr">
        <is>
          <t>Nasdaq; $240M Q1; ARR target $4.4bn</t>
        </is>
      </c>
      <c r="H6" s="28" t="inlineStr">
        <is>
          <t>Yes — profitable (with revaluation caveats)</t>
        </is>
      </c>
    </row>
    <row r="7" ht="42" customHeight="1">
      <c r="A7" s="27" t="inlineStr">
        <is>
          <t>Soluna</t>
        </is>
      </c>
      <c r="B7" s="6" t="inlineStr">
        <is>
          <t>USA</t>
        </is>
      </c>
      <c r="C7" s="6" t="inlineStr">
        <is>
          <t>Asset-heavy</t>
        </is>
      </c>
      <c r="D7" s="6" t="inlineStr">
        <is>
          <t>Curtailed wind/solar (~3p, BTM)</t>
        </is>
      </c>
      <c r="E7" s="6" t="inlineStr">
        <is>
          <t>Single-tenant LT hosting + grid demand-response</t>
        </is>
      </c>
      <c r="F7" s="6" t="inlineStr">
        <is>
          <t>none</t>
        </is>
      </c>
      <c r="G7" s="6" t="inlineStr">
        <is>
          <t>Nasdaq; $29.7M rev 2025</t>
        </is>
      </c>
      <c r="H7" s="29" t="inlineStr">
        <is>
          <t>No — −$57M; but hosting 40–59% gross margin</t>
        </is>
      </c>
    </row>
    <row r="8" ht="42" customHeight="1">
      <c r="A8" s="27" t="inlineStr">
        <is>
          <t>EcoDataCenter</t>
        </is>
      </c>
      <c r="B8" s="6" t="inlineStr">
        <is>
          <t>Sweden</t>
        </is>
      </c>
      <c r="C8" s="6" t="inlineStr">
        <is>
          <t>Asset-heavy</t>
        </is>
      </c>
      <c r="D8" s="6" t="inlineStr">
        <is>
          <t>Swedish hydro grid</t>
        </is>
      </c>
      <c r="E8" s="6" t="inlineStr">
        <is>
          <t>CoreWeave AI anchor (wholesale)</t>
        </is>
      </c>
      <c r="F8" s="6" t="inlineStr">
        <is>
          <t>SOLD to utility (pellet plant + district)</t>
        </is>
      </c>
      <c r="G8" s="6" t="inlineStr">
        <is>
          <t>€1.8bn financed (Areim)</t>
        </is>
      </c>
      <c r="H8" s="28" t="inlineStr">
        <is>
          <t>Yes — most proven; heat genuinely sold</t>
        </is>
      </c>
    </row>
    <row r="9" ht="42" customHeight="1">
      <c r="A9" s="27" t="inlineStr">
        <is>
          <t>atNorth / Verne / Borealis</t>
        </is>
      </c>
      <c r="B9" s="6" t="inlineStr">
        <is>
          <t>Iceland/Nordics</t>
        </is>
      </c>
      <c r="C9" s="6" t="inlineStr">
        <is>
          <t>Asset-heavy</t>
        </is>
      </c>
      <c r="D9" s="6" t="inlineStr">
        <is>
          <t>Geothermal + hydro (~3–5¢, PPA)</t>
        </is>
      </c>
      <c r="E9" s="6" t="inlineStr">
        <is>
          <t>Enterprise AI/HPC colocation (LT)</t>
        </is>
      </c>
      <c r="F9" s="6" t="inlineStr">
        <is>
          <t>pilot only</t>
        </is>
      </c>
      <c r="G9" s="6" t="inlineStr">
        <is>
          <t>PE / debt-funded (£100M+ each)</t>
        </is>
      </c>
      <c r="H9" s="28" t="inlineStr">
        <is>
          <t>Yes — institutional infra; heat nascent</t>
        </is>
      </c>
    </row>
    <row r="10" ht="42" customHeight="1">
      <c r="A10" s="27" t="inlineStr">
        <is>
          <t>Lancium</t>
        </is>
      </c>
      <c r="B10" s="6" t="inlineStr">
        <is>
          <t>USA</t>
        </is>
      </c>
      <c r="C10" s="6" t="inlineStr">
        <is>
          <t>Asset-heavy</t>
        </is>
      </c>
      <c r="D10" s="6" t="inlineStr">
        <is>
          <t>Curtailed West-Texas wind (BTM)</t>
        </is>
      </c>
      <c r="E10" s="6" t="inlineStr">
        <is>
          <t>Anchor tenants + ERCOT ancillary + software licensing</t>
        </is>
      </c>
      <c r="F10" s="6" t="inlineStr">
        <is>
          <t>none</t>
        </is>
      </c>
      <c r="G10" s="6" t="inlineStr">
        <is>
          <t>Private; Crusoe cross-licence</t>
        </is>
      </c>
      <c r="H10" s="6" t="inlineStr">
        <is>
          <t>Proven but opaque</t>
        </is>
      </c>
    </row>
    <row r="11" ht="42" customHeight="1">
      <c r="A11" s="27" t="inlineStr">
        <is>
          <t>Salad</t>
        </is>
      </c>
      <c r="B11" s="6" t="inlineStr">
        <is>
          <t>USA</t>
        </is>
      </c>
      <c r="C11" s="30" t="inlineStr">
        <is>
          <t>Asset-LIGHT platform</t>
        </is>
      </c>
      <c r="D11" s="6" t="inlineStr">
        <is>
          <t>Consumer grid (hosts pay)</t>
        </is>
      </c>
      <c r="E11" s="6" t="inlineStr">
        <is>
          <t>SME spot marketplace</t>
        </is>
      </c>
      <c r="F11" s="6" t="inlineStr">
        <is>
          <t>none</t>
        </is>
      </c>
      <c r="G11" s="6" t="inlineStr">
        <is>
          <t>$27.5M raised; $10.4M ARR</t>
        </is>
      </c>
      <c r="H11" s="28" t="inlineStr">
        <is>
          <t>Yes — growing, pre-profit. NO hardware</t>
        </is>
      </c>
    </row>
    <row r="12" ht="42" customHeight="1">
      <c r="A12" s="27" t="inlineStr">
        <is>
          <t>Vast.ai</t>
        </is>
      </c>
      <c r="B12" s="6" t="inlineStr">
        <is>
          <t>USA</t>
        </is>
      </c>
      <c r="C12" s="30" t="inlineStr">
        <is>
          <t>Asset-LIGHT platform</t>
        </is>
      </c>
      <c r="D12" s="6" t="inlineStr">
        <is>
          <t>Hosts pay own (70% pros)</t>
        </is>
      </c>
      <c r="E12" s="6" t="inlineStr">
        <is>
          <t>Developer spot; 25–30% commission</t>
        </is>
      </c>
      <c r="F12" s="6" t="inlineStr">
        <is>
          <t>none</t>
        </is>
      </c>
      <c r="G12" s="6" t="inlineStr">
        <is>
          <t>Bootstrapped; ~$2.2M ARR</t>
        </is>
      </c>
      <c r="H12" s="6" t="inlineStr">
        <is>
          <t>Likely breakeven, lean. NO hardware</t>
        </is>
      </c>
    </row>
    <row r="13" ht="42" customHeight="1">
      <c r="A13" s="27" t="inlineStr">
        <is>
          <t>Akash</t>
        </is>
      </c>
      <c r="B13" s="6" t="inlineStr">
        <is>
          <t>USA</t>
        </is>
      </c>
      <c r="C13" s="30" t="inlineStr">
        <is>
          <t>Asset-LIGHT platform</t>
        </is>
      </c>
      <c r="D13" s="6" t="inlineStr">
        <is>
          <t>Provider pays own</t>
        </is>
      </c>
      <c r="E13" s="6" t="inlineStr">
        <is>
          <t>Spot; 20% take rate</t>
        </is>
      </c>
      <c r="F13" s="6" t="inlineStr">
        <is>
          <t>none</t>
        </is>
      </c>
      <c r="G13" s="6" t="inlineStr">
        <is>
          <t>On-chain; ~$0.5M/qtr, declining</t>
        </is>
      </c>
      <c r="H13" s="6" t="inlineStr">
        <is>
          <t>Real but tiny + decelerating</t>
        </is>
      </c>
    </row>
    <row r="14" ht="42" customHeight="1">
      <c r="A14" s="27" t="inlineStr">
        <is>
          <t>Deep Green</t>
        </is>
      </c>
      <c r="B14" s="6" t="inlineStr">
        <is>
          <t>UK</t>
        </is>
      </c>
      <c r="C14" s="6" t="inlineStr">
        <is>
          <t>Heat pure-play</t>
        </is>
      </c>
      <c r="D14" s="6" t="inlineStr">
        <is>
          <t>Grid (free cooling from pool)</t>
        </is>
      </c>
      <c r="E14" s="6" t="inlineStr">
        <is>
          <t>Enterprise AI/ML/rendering</t>
        </is>
      </c>
      <c r="F14" s="6" t="inlineStr">
        <is>
          <t>FREE to pool (siting)</t>
        </is>
      </c>
      <c r="G14" s="6" t="inlineStr">
        <is>
          <t>£200m Octopus; 1 live site</t>
        </is>
      </c>
      <c r="H14" s="6" t="inlineStr">
        <is>
          <t>Concept proven; not yet profitable/scaled</t>
        </is>
      </c>
    </row>
    <row r="15" ht="42" customHeight="1">
      <c r="A15" s="27" t="inlineStr">
        <is>
          <t>Qarnot</t>
        </is>
      </c>
      <c r="B15" s="6" t="inlineStr">
        <is>
          <t>France</t>
        </is>
      </c>
      <c r="C15" s="6" t="inlineStr">
        <is>
          <t>Heat pure-play</t>
        </is>
      </c>
      <c r="D15" s="6" t="inlineStr">
        <is>
          <t>Grid at each building</t>
        </is>
      </c>
      <c r="E15" s="6" t="inlineStr">
        <is>
          <t>Enterprise HPC (aerospace, AI)</t>
        </is>
      </c>
      <c r="F15" s="6" t="inlineStr">
        <is>
          <t>reduced-cost to building; util offtake (IT)</t>
        </is>
      </c>
      <c r="G15" s="6" t="inlineStr">
        <is>
          <t>~€55M; ~1MW, 30 sites, 10+ yrs</t>
        </is>
      </c>
      <c r="H15" s="6" t="inlineStr">
        <is>
          <t>Most proven distributed-heat; profit unclear</t>
        </is>
      </c>
    </row>
    <row r="16" ht="42" customHeight="1">
      <c r="A16" s="27" t="inlineStr">
        <is>
          <t>Heata</t>
        </is>
      </c>
      <c r="B16" s="6" t="inlineStr">
        <is>
          <t>UK</t>
        </is>
      </c>
      <c r="C16" s="6" t="inlineStr">
        <is>
          <t>Heat pure-play</t>
        </is>
      </c>
      <c r="D16" s="6" t="inlineStr">
        <is>
          <t>Residential grid (they pay)</t>
        </is>
      </c>
      <c r="E16" s="6" t="inlineStr">
        <is>
          <t>Enterprise cloud/rendering (British Gas)</t>
        </is>
      </c>
      <c r="F16" s="6" t="inlineStr">
        <is>
          <t>FREE to household hot water</t>
        </is>
      </c>
      <c r="G16" s="6" t="inlineStr">
        <is>
          <t>£1m seed; 10-unit trial</t>
        </is>
      </c>
      <c r="H16" s="29" t="inlineStr">
        <is>
          <t>Early trial — not a business yet</t>
        </is>
      </c>
    </row>
    <row r="17" ht="42" customHeight="1">
      <c r="A17" s="27" t="inlineStr">
        <is>
          <t>MintGreen</t>
        </is>
      </c>
      <c r="B17" s="6" t="inlineStr">
        <is>
          <t>Canada</t>
        </is>
      </c>
      <c r="C17" s="6" t="inlineStr">
        <is>
          <t>Heat + mining</t>
        </is>
      </c>
      <c r="D17" s="6" t="inlineStr">
        <is>
          <t>BC hydro (~4–5p, cheap renewable)</t>
        </is>
      </c>
      <c r="E17" s="6" t="inlineStr">
        <is>
          <t>Bitcoin mining</t>
        </is>
      </c>
      <c r="F17" s="6" t="inlineStr">
        <is>
          <t>SOLD to district utility + industrial</t>
        </is>
      </c>
      <c r="G17" s="6" t="inlineStr">
        <is>
          <t>Small seed (CoinShares)</t>
        </is>
      </c>
      <c r="H17" s="6" t="inlineStr">
        <is>
          <t>Operating, BTC-price-dependent, small</t>
        </is>
      </c>
    </row>
    <row r="18" ht="42" customHeight="1">
      <c r="A18" s="27" t="inlineStr">
        <is>
          <t>Stockholm Exergi / Data Parks</t>
        </is>
      </c>
      <c r="B18" s="6" t="inlineStr">
        <is>
          <t>Sweden</t>
        </is>
      </c>
      <c r="C18" s="6" t="inlineStr">
        <is>
          <t>Utility heat-buyer</t>
        </is>
      </c>
      <c r="D18" s="6" t="inlineStr">
        <is>
          <t>existing DCs</t>
        </is>
      </c>
      <c r="E18" s="6" t="inlineStr">
        <is>
          <t>n/a (buys heat)</t>
        </is>
      </c>
      <c r="F18" s="6" t="inlineStr">
        <is>
          <t>BUYS heat at avoided-cost (£20–40/MWh)</t>
        </is>
      </c>
      <c r="G18" s="6" t="inlineStr">
        <is>
          <t>City programme; 20+ DCs, 30k flats</t>
        </is>
      </c>
      <c r="H18" s="6" t="inlineStr">
        <is>
          <t>Proven city-scale heat market</t>
        </is>
      </c>
    </row>
    <row r="19" ht="42" customHeight="1">
      <c r="A19" s="27" t="inlineStr">
        <is>
          <t>Green Mountain</t>
        </is>
      </c>
      <c r="B19" s="6" t="inlineStr">
        <is>
          <t>Norway</t>
        </is>
      </c>
      <c r="C19" s="6" t="inlineStr">
        <is>
          <t>Asset-heavy</t>
        </is>
      </c>
      <c r="D19" s="6" t="inlineStr">
        <is>
          <t>Norwegian hydro (~3–5p)</t>
        </is>
      </c>
      <c r="E19" s="6" t="inlineStr">
        <is>
          <t>Enterprise colocation</t>
        </is>
      </c>
      <c r="F19" s="6" t="inlineStr">
        <is>
          <t>FREE to aquaculture (lobster/trout, 20°C match)</t>
        </is>
      </c>
      <c r="G19" s="6" t="inlineStr">
        <is>
          <t>EQT-backed</t>
        </is>
      </c>
      <c r="H19" s="28" t="inlineStr">
        <is>
          <t>Yes — operating</t>
        </is>
      </c>
    </row>
    <row r="20" ht="42" customHeight="1">
      <c r="A20" s="27" t="inlineStr">
        <is>
          <t>Infomaniak</t>
        </is>
      </c>
      <c r="B20" s="6" t="inlineStr">
        <is>
          <t>Switzerland</t>
        </is>
      </c>
      <c r="C20" s="6" t="inlineStr">
        <is>
          <t>Cloud + heat</t>
        </is>
      </c>
      <c r="D20" s="6" t="inlineStr">
        <is>
          <t>Swiss grid (hydro)</t>
        </is>
      </c>
      <c r="E20" s="6" t="inlineStr">
        <is>
          <t>own cloud customers</t>
        </is>
      </c>
      <c r="F20" s="6" t="inlineStr">
        <is>
          <t>SOLD to utility at cost (heat pumps to 85°C)</t>
        </is>
      </c>
      <c r="G20" s="6" t="inlineStr">
        <is>
          <t>Cooperative, no VC; CHF12m DC</t>
        </is>
      </c>
      <c r="H20" s="28" t="inlineStr">
        <is>
          <t>Yes — but heat is cost-neutral</t>
        </is>
      </c>
    </row>
    <row r="22" ht="54" customHeight="1">
      <c r="A22" s="31" t="inlineStr">
        <is>
          <t>THE PATTERN: every PROFITABLE asset-heavy operator = cheap/stranded power + contracted demand. The asset-LIGHT platforms make money with NO hardware (a spread on sunk-cost gamers' GPUs). The heat pure-plays prove the concept but none is profitable yet. Your edge = schools' cheap solar power + heat siting + your own contracted demand.</t>
        </is>
      </c>
    </row>
  </sheetData>
  <mergeCells count="2">
    <mergeCell ref="A2:H2"/>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40" customWidth="1" min="1" max="1"/>
    <col width="78" customWidth="1" min="2" max="2"/>
  </cols>
  <sheetData>
    <row r="1">
      <c r="A1" s="1" t="inlineStr">
        <is>
          <t>Sources (researched 7 Jun 2026)</t>
        </is>
      </c>
      <c r="B1" s="2" t="n"/>
      <c r="C1" s="2" t="n"/>
      <c r="D1" s="2" t="n"/>
      <c r="E1" s="2" t="n"/>
      <c r="F1" s="2" t="n"/>
      <c r="G1" s="2" t="n"/>
      <c r="H1" s="2" t="n"/>
      <c r="I1" s="2" t="n"/>
      <c r="J1" s="2" t="n"/>
      <c r="K1" s="2" t="n"/>
      <c r="L1" s="2" t="n"/>
      <c r="M1" s="2" t="n"/>
    </row>
    <row r="3">
      <c r="A3" s="15" t="inlineStr">
        <is>
          <t>PROFITABLE ASSET-HEAVY (cheap power + contracted demand)</t>
        </is>
      </c>
    </row>
    <row r="4">
      <c r="A4" t="inlineStr">
        <is>
          <t>Crusoe — Contrary Research deep dive</t>
        </is>
      </c>
      <c r="B4" s="32" t="inlineStr">
        <is>
          <t>https://research.contrary.com/company/crusoe</t>
        </is>
      </c>
    </row>
    <row r="5">
      <c r="A5" t="inlineStr">
        <is>
          <t>Soluna 2025 annual results (curtailed-wind hosting + demand response)</t>
        </is>
      </c>
      <c r="B5" s="32" t="inlineStr">
        <is>
          <t>https://www.solunacomputing.com/news/2025-results/</t>
        </is>
      </c>
    </row>
    <row r="6">
      <c r="A6" t="inlineStr">
        <is>
          <t>IREN — Microsoft $9.7bn AI cloud deal</t>
        </is>
      </c>
      <c r="B6" s="32" t="inlineStr">
        <is>
          <t>https://bravenewcoin.com/insights/bitcoin-miner-iren-lands-9-7-billion-microsoft-deal-for-ai-infrastructure</t>
        </is>
      </c>
    </row>
    <row r="7">
      <c r="A7" t="inlineStr">
        <is>
          <t>EcoDataCenter — €600m raise + CoreWeave + heat-to-pellet</t>
        </is>
      </c>
      <c r="B7" s="32" t="inlineStr">
        <is>
          <t>https://ecodatacenter.tech/press/ecodatacenter-raises-an-additional-eur-600-million-3402903</t>
        </is>
      </c>
    </row>
    <row r="8">
      <c r="A8" t="inlineStr">
        <is>
          <t>Lancium — ERCOT Controllable Load Resource (grid services)</t>
        </is>
      </c>
      <c r="B8" s="32" t="inlineStr">
        <is>
          <t>https://www.prnewswire.com/news-releases/lanciums-fort-stockton-facility-qualifies-as-ercot-controllable-load-resource-301666372.html</t>
        </is>
      </c>
    </row>
    <row r="9">
      <c r="A9" s="15" t="inlineStr">
        <is>
          <t>ASSET-LIGHT PLATFORMS (no hardware, take a spread)</t>
        </is>
      </c>
    </row>
    <row r="10">
      <c r="A10" t="inlineStr">
        <is>
          <t>Salad — host earnings (sunk-cost gamer GPUs)</t>
        </is>
      </c>
      <c r="B10" s="32" t="inlineStr">
        <is>
          <t>https://community.salad.com/sell-gpu-power/</t>
        </is>
      </c>
    </row>
    <row r="11">
      <c r="A11" t="inlineStr">
        <is>
          <t>Salad — revenue/ARR</t>
        </is>
      </c>
      <c r="B11" s="32" t="inlineStr">
        <is>
          <t>https://getlatka.com/companies/salad-technologies</t>
        </is>
      </c>
    </row>
    <row r="12">
      <c r="A12" t="inlineStr">
        <is>
          <t>Vast.ai — 25% renter premium, host keeps ~80%</t>
        </is>
      </c>
      <c r="B12" s="32" t="inlineStr">
        <is>
          <t>https://vast.ai/article/how-much-money-can-you-earn-renting-out-your-gpu-on-vast-ai</t>
        </is>
      </c>
    </row>
    <row r="13">
      <c r="A13" t="inlineStr">
        <is>
          <t>Akash — Messari state report (20% take, declining)</t>
        </is>
      </c>
      <c r="B13" s="32" t="inlineStr">
        <is>
          <t>https://messari.io/report/state-of-akash-q3-2025</t>
        </is>
      </c>
    </row>
    <row r="14">
      <c r="A14" s="15" t="inlineStr">
        <is>
          <t>HEAT PURE-PLAYS (concept proven, not yet profitable)</t>
        </is>
      </c>
    </row>
    <row r="15">
      <c r="A15" t="inlineStr">
        <is>
          <t>Deep Green — Octopus £200m, pools</t>
        </is>
      </c>
      <c r="B15" s="32" t="inlineStr">
        <is>
          <t>https://thenextweb.com/news/deep-green-octopus-energy-swimming-pools-data-centre</t>
        </is>
      </c>
    </row>
    <row r="16">
      <c r="A16" t="inlineStr">
        <is>
          <t>Qarnot — distributed building HPC + heat</t>
        </is>
      </c>
      <c r="B16" s="32" t="inlineStr">
        <is>
          <t>https://www.datacenterdynamics.com/en/news/hpc-cloud-provider-qarnot-gets-funding-from-european-innovation-council/</t>
        </is>
      </c>
    </row>
    <row r="17">
      <c r="A17" t="inlineStr">
        <is>
          <t>Heata — British Gas trial</t>
        </is>
      </c>
      <c r="B17" s="32" t="inlineStr">
        <is>
          <t>https://www.centrica.com/media-centre/news/2025/british-gas-partners-with-heata-on-trial-to-reuse-waste-heat-from-data-processing/</t>
        </is>
      </c>
    </row>
    <row r="18">
      <c r="A18" t="inlineStr">
        <is>
          <t>MintGreen — sells heat to district utility</t>
        </is>
      </c>
      <c r="B18" s="32" t="inlineStr">
        <is>
          <t>https://www.districtenergy.org/blogs/district-energy/2024/04/16/how-a-startup-is-supplying-a-whole-city-with-heat</t>
        </is>
      </c>
    </row>
    <row r="19">
      <c r="A19" t="inlineStr">
        <is>
          <t>Stockholm Exergi — Open District Heating (buys heat at avoided-cost)</t>
        </is>
      </c>
      <c r="B19" s="32" t="inlineStr">
        <is>
          <t>https://stockholmdataparks.com/</t>
        </is>
      </c>
    </row>
    <row r="20">
      <c r="A20" t="inlineStr">
        <is>
          <t>Green Mountain — heat to lobster/trout farms</t>
        </is>
      </c>
      <c r="B20" s="32" t="inlineStr">
        <is>
          <t>https://greenmountain.no/data-center-heat-reuse/</t>
        </is>
      </c>
    </row>
    <row r="21">
      <c r="A21" t="inlineStr">
        <is>
          <t>Infomaniak — 100% heat recovery to Geneva district</t>
        </is>
      </c>
      <c r="B21" s="32" t="inlineStr">
        <is>
          <t>https://www.globenewswire.com/news-releases/2025/01/28/3016567/0/en/Innovation-Infomaniak-inaugurates-a-data-center-that-recycles-100-of-its-energy-and-will-heat-6-000-households-a-year-for-at-least-20-years.html</t>
        </is>
      </c>
    </row>
    <row r="22">
      <c r="A22" s="15" t="inlineStr">
        <is>
          <t>LEVER EVIDENCE</t>
        </is>
      </c>
    </row>
    <row r="23">
      <c r="A23" t="inlineStr">
        <is>
          <t>UK wind curtailment (~900 GWh/yr wasted Scotland)</t>
        </is>
      </c>
      <c r="B23" s="32" t="inlineStr">
        <is>
          <t>https://www.carbontracker.org/</t>
        </is>
      </c>
    </row>
    <row r="24">
      <c r="A24" t="inlineStr">
        <is>
          <t>UK Demand Side Response / Balancing Mechanism (grid services)</t>
        </is>
      </c>
      <c r="B24" s="32" t="inlineStr">
        <is>
          <t>https://www.nationalgrideso.com/industry-information/balancing-services</t>
        </is>
      </c>
    </row>
    <row r="25">
      <c r="A25" t="inlineStr">
        <is>
          <t>DC waste-heat unit economics (€3–7/MWh sale; gas baseline €35–55/MWh)</t>
        </is>
      </c>
      <c r="B25" s="32" t="inlineStr">
        <is>
          <t>https://energy-solutions.co/articles/sub/data-center-waste-heat-district-heating</t>
        </is>
      </c>
    </row>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3" r:id="rId17"/>
    <hyperlink xmlns:r="http://schemas.openxmlformats.org/officeDocument/2006/relationships" ref="B24" r:id="rId18"/>
    <hyperlink xmlns:r="http://schemas.openxmlformats.org/officeDocument/2006/relationships" ref="B25"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2026-06-07T17:46:16Z</dcterms:created>
  <dcterms:modified xmlns:dcterms="http://purl.org/dc/terms/" xmlns:xsi="http://www.w3.org/2001/XMLSchema-instance" xsi:type="dcterms:W3CDTF">2026-06-07T17:46:16Z</dcterms:modified>
</cp:coreProperties>
</file>