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£100k Answ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£#,##0"/>
    <numFmt numFmtId="166" formatCode="£#,##0.000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9"/>
    </font>
    <font>
      <b val="1"/>
      <color rgb="00FFFFFF"/>
    </font>
    <font>
      <b val="1"/>
    </font>
    <font>
      <b val="1"/>
      <i val="1"/>
      <color rgb="00E65100"/>
    </font>
    <font>
      <b val="1"/>
      <i val="1"/>
      <color rgb="002E7D32"/>
    </font>
    <font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vertical="top" wrapText="1"/>
    </xf>
    <xf numFmtId="0" fontId="4" fillId="0" borderId="1" pivotButton="0" quotePrefix="0" xfId="0"/>
    <xf numFmtId="0" fontId="0" fillId="0" borderId="1" pivotButton="0" quotePrefix="0" xfId="0"/>
    <xf numFmtId="9" fontId="0" fillId="4" borderId="1" pivotButton="0" quotePrefix="0" xfId="0"/>
    <xf numFmtId="164" fontId="0" fillId="4" borderId="1" pivotButton="0" quotePrefix="0" xfId="0"/>
    <xf numFmtId="165" fontId="4" fillId="5" borderId="1" pivotButton="0" quotePrefix="0" xfId="0"/>
    <xf numFmtId="164" fontId="4" fillId="5" borderId="1" pivotButton="0" quotePrefix="0" xfId="0"/>
    <xf numFmtId="9" fontId="0" fillId="0" borderId="1" pivotButton="0" quotePrefix="0" xfId="0"/>
    <xf numFmtId="164" fontId="0" fillId="0" borderId="1" pivotButton="0" quotePrefix="0" xfId="0"/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165" fontId="0" fillId="4" borderId="1" pivotButton="0" quotePrefix="0" xfId="0"/>
    <xf numFmtId="3" fontId="0" fillId="4" borderId="1" pivotButton="0" quotePrefix="0" xfId="0"/>
    <xf numFmtId="3" fontId="4" fillId="5" borderId="1" pivotButton="0" quotePrefix="0" xfId="0"/>
    <xf numFmtId="166" fontId="0" fillId="4" borderId="1" pivotButton="0" quotePrefix="0" xfId="0"/>
    <xf numFmtId="0" fontId="2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3">
    <dxf>
      <fill>
        <patternFill patternType="solid">
          <fgColor rgb="00C8E6C9"/>
        </patternFill>
      </fill>
    </dxf>
    <dxf>
      <fill>
        <patternFill patternType="solid">
          <fgColor rgb="00FFE0B2"/>
        </patternFill>
      </fill>
    </dxf>
    <dxf>
      <fill>
        <patternFill patternType="solid">
          <f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7" customWidth="1" min="3" max="3"/>
    <col width="10" customWidth="1" min="4" max="4"/>
    <col width="12" customWidth="1" min="5" max="5"/>
    <col width="11" customWidth="1" min="6" max="6"/>
    <col width="11" customWidth="1" min="7" max="7"/>
    <col width="9" customWidth="1" min="8" max="8"/>
    <col width="12" customWidth="1" min="9" max="9"/>
    <col width="11" customWidth="1" min="10" max="10"/>
  </cols>
  <sheetData>
    <row r="1">
      <c r="A1" s="1" t="inlineStr">
        <is>
          <t>£100k of your own money at a school — fastest payback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£100k buys ~6 water-cooled boxes (36× RTX 4090, ~16kW). Chips die economically at ~3yr, so payback MUST beat 36 months. Yellow = edit the levers per row.</t>
        </is>
      </c>
    </row>
    <row r="4" ht="40" customHeight="1">
      <c r="A4" s="4" t="inlineStr">
        <is>
          <t>Scenario</t>
        </is>
      </c>
      <c r="B4" s="4" t="inlineStr">
        <is>
          <t>Heat deal</t>
        </is>
      </c>
      <c r="C4" s="4" t="inlineStr">
        <is>
          <t>Util %</t>
        </is>
      </c>
      <c r="D4" s="4" t="inlineStr">
        <is>
          <t>Power p/kWh</t>
        </is>
      </c>
      <c r="E4" s="4" t="inlineStr">
        <is>
          <t>Heat sell p/kWh</t>
        </is>
      </c>
      <c r="F4" s="4" t="inlineStr">
        <is>
          <t>Net £/yr</t>
        </is>
      </c>
      <c r="G4" s="4" t="inlineStr">
        <is>
          <t>Payback (mo)</t>
        </is>
      </c>
      <c r="H4" s="4" t="inlineStr">
        <is>
          <t>ROC %/yr</t>
        </is>
      </c>
      <c r="I4" s="4" t="inlineStr">
        <is>
          <t>Profit window (mo)</t>
        </is>
      </c>
      <c r="J4" s="4" t="inlineStr">
        <is>
          <t>Verdict</t>
        </is>
      </c>
    </row>
    <row r="5">
      <c r="A5" s="5" t="inlineStr">
        <is>
          <t>Free heat · no solar · SPOT</t>
        </is>
      </c>
      <c r="B5" s="6" t="inlineStr">
        <is>
          <t>free</t>
        </is>
      </c>
      <c r="C5" s="7" t="n">
        <v>0.55</v>
      </c>
      <c r="D5" s="8" t="n">
        <v>24</v>
      </c>
      <c r="E5" s="8" t="n">
        <v>0</v>
      </c>
      <c r="F5" s="9">
        <f>Assumptions!$B$7*(Assumptions!$B$6*Assumptions!$B$8*C5*Assumptions!$B$12 + Assumptions!$B$11*C5*Assumptions!$B$12*(E5/100) - Assumptions!$B$11*C5*Assumptions!$B$12*(D5/100) - Assumptions!$B$5*Assumptions!$B$9 - Assumptions!$B$10)</f>
        <v/>
      </c>
      <c r="G5" s="10">
        <f>IF(F5&gt;0,Assumptions!$B$4/F5*12,"never")</f>
        <v/>
      </c>
      <c r="H5" s="11">
        <f>F5/Assumptions!$B$4</f>
        <v/>
      </c>
      <c r="I5" s="12">
        <f>IF(F5&gt;0,MAX(0,36-Assumptions!$B$4/F5*12),0)</f>
        <v/>
      </c>
      <c r="J5" s="5">
        <f>IF(G5="never","FAILS",IF(G5&lt;=24,"FAST",IF(G5&lt;36,"OK","FAILS")))</f>
        <v/>
      </c>
    </row>
    <row r="6">
      <c r="A6" s="5" t="inlineStr">
        <is>
          <t>Free heat · no solar · your token endpoint</t>
        </is>
      </c>
      <c r="B6" s="6" t="inlineStr">
        <is>
          <t>free</t>
        </is>
      </c>
      <c r="C6" s="7" t="n">
        <v>0.7</v>
      </c>
      <c r="D6" s="8" t="n">
        <v>24</v>
      </c>
      <c r="E6" s="8" t="n">
        <v>0</v>
      </c>
      <c r="F6" s="9">
        <f>Assumptions!$B$7*(Assumptions!$B$6*Assumptions!$B$8*C6*Assumptions!$B$12 + Assumptions!$B$11*C6*Assumptions!$B$12*(E6/100) - Assumptions!$B$11*C6*Assumptions!$B$12*(D6/100) - Assumptions!$B$5*Assumptions!$B$9 - Assumptions!$B$10)</f>
        <v/>
      </c>
      <c r="G6" s="10">
        <f>IF(F6&gt;0,Assumptions!$B$4/F6*12,"never")</f>
        <v/>
      </c>
      <c r="H6" s="11">
        <f>F6/Assumptions!$B$4</f>
        <v/>
      </c>
      <c r="I6" s="12">
        <f>IF(F6&gt;0,MAX(0,36-Assumptions!$B$4/F6*12),0)</f>
        <v/>
      </c>
      <c r="J6" s="5">
        <f>IF(G6="never","FAILS",IF(G6&lt;=24,"FAST",IF(G6&lt;36,"OK","FAILS")))</f>
        <v/>
      </c>
    </row>
    <row r="7">
      <c r="A7" s="5" t="inlineStr">
        <is>
          <t>Free heat · no solar · CONTRACTED</t>
        </is>
      </c>
      <c r="B7" s="6" t="inlineStr">
        <is>
          <t>free</t>
        </is>
      </c>
      <c r="C7" s="7" t="n">
        <v>0.9</v>
      </c>
      <c r="D7" s="8" t="n">
        <v>24</v>
      </c>
      <c r="E7" s="8" t="n">
        <v>0</v>
      </c>
      <c r="F7" s="9">
        <f>Assumptions!$B$7*(Assumptions!$B$6*Assumptions!$B$8*C7*Assumptions!$B$12 + Assumptions!$B$11*C7*Assumptions!$B$12*(E7/100) - Assumptions!$B$11*C7*Assumptions!$B$12*(D7/100) - Assumptions!$B$5*Assumptions!$B$9 - Assumptions!$B$10)</f>
        <v/>
      </c>
      <c r="G7" s="10">
        <f>IF(F7&gt;0,Assumptions!$B$4/F7*12,"never")</f>
        <v/>
      </c>
      <c r="H7" s="11">
        <f>F7/Assumptions!$B$4</f>
        <v/>
      </c>
      <c r="I7" s="12">
        <f>IF(F7&gt;0,MAX(0,36-Assumptions!$B$4/F7*12),0)</f>
        <v/>
      </c>
      <c r="J7" s="5">
        <f>IF(G7="never","FAILS",IF(G7&lt;=24,"FAST",IF(G7&lt;36,"OK","FAILS")))</f>
        <v/>
      </c>
    </row>
    <row r="8">
      <c r="A8" s="5" t="inlineStr">
        <is>
          <t>SELL heat (off-gas school) · grid · 70%</t>
        </is>
      </c>
      <c r="B8" s="6" t="inlineStr">
        <is>
          <t>sold</t>
        </is>
      </c>
      <c r="C8" s="7" t="n">
        <v>0.7</v>
      </c>
      <c r="D8" s="8" t="n">
        <v>24</v>
      </c>
      <c r="E8" s="8" t="n">
        <v>16</v>
      </c>
      <c r="F8" s="9">
        <f>Assumptions!$B$7*(Assumptions!$B$6*Assumptions!$B$8*C8*Assumptions!$B$12 + Assumptions!$B$11*C8*Assumptions!$B$12*(E8/100) - Assumptions!$B$11*C8*Assumptions!$B$12*(D8/100) - Assumptions!$B$5*Assumptions!$B$9 - Assumptions!$B$10)</f>
        <v/>
      </c>
      <c r="G8" s="10">
        <f>IF(F8&gt;0,Assumptions!$B$4/F8*12,"never")</f>
        <v/>
      </c>
      <c r="H8" s="11">
        <f>F8/Assumptions!$B$4</f>
        <v/>
      </c>
      <c r="I8" s="12">
        <f>IF(F8&gt;0,MAX(0,36-Assumptions!$B$4/F8*12),0)</f>
        <v/>
      </c>
      <c r="J8" s="5">
        <f>IF(G8="never","FAILS",IF(G8&lt;=24,"FAST",IF(G8&lt;36,"OK","FAILS")))</f>
        <v/>
      </c>
    </row>
    <row r="9">
      <c r="A9" s="5" t="inlineStr">
        <is>
          <t>SELL heat (off-gas school) · grid · CONTRACTED</t>
        </is>
      </c>
      <c r="B9" s="6" t="inlineStr">
        <is>
          <t>sold</t>
        </is>
      </c>
      <c r="C9" s="7" t="n">
        <v>0.9</v>
      </c>
      <c r="D9" s="8" t="n">
        <v>24</v>
      </c>
      <c r="E9" s="8" t="n">
        <v>16</v>
      </c>
      <c r="F9" s="9">
        <f>Assumptions!$B$7*(Assumptions!$B$6*Assumptions!$B$8*C9*Assumptions!$B$12 + Assumptions!$B$11*C9*Assumptions!$B$12*(E9/100) - Assumptions!$B$11*C9*Assumptions!$B$12*(D9/100) - Assumptions!$B$5*Assumptions!$B$9 - Assumptions!$B$10)</f>
        <v/>
      </c>
      <c r="G9" s="10">
        <f>IF(F9&gt;0,Assumptions!$B$4/F9*12,"never")</f>
        <v/>
      </c>
      <c r="H9" s="11">
        <f>F9/Assumptions!$B$4</f>
        <v/>
      </c>
      <c r="I9" s="12">
        <f>IF(F9&gt;0,MAX(0,36-Assumptions!$B$4/F9*12),0)</f>
        <v/>
      </c>
      <c r="J9" s="5">
        <f>IF(G9="never","FAILS",IF(G9&lt;=24,"FAST",IF(G9&lt;36,"OK","FAILS")))</f>
        <v/>
      </c>
    </row>
    <row r="10">
      <c r="A10" s="5" t="inlineStr">
        <is>
          <t>Free heat · SOLAR school · CONTRACTED</t>
        </is>
      </c>
      <c r="B10" s="6" t="inlineStr">
        <is>
          <t>free</t>
        </is>
      </c>
      <c r="C10" s="7" t="n">
        <v>0.9</v>
      </c>
      <c r="D10" s="8" t="n">
        <v>12</v>
      </c>
      <c r="E10" s="8" t="n">
        <v>0</v>
      </c>
      <c r="F10" s="9">
        <f>Assumptions!$B$7*(Assumptions!$B$6*Assumptions!$B$8*C10*Assumptions!$B$12 + Assumptions!$B$11*C10*Assumptions!$B$12*(E10/100) - Assumptions!$B$11*C10*Assumptions!$B$12*(D10/100) - Assumptions!$B$5*Assumptions!$B$9 - Assumptions!$B$10)</f>
        <v/>
      </c>
      <c r="G10" s="10">
        <f>IF(F10&gt;0,Assumptions!$B$4/F10*12,"never")</f>
        <v/>
      </c>
      <c r="H10" s="11">
        <f>F10/Assumptions!$B$4</f>
        <v/>
      </c>
      <c r="I10" s="12">
        <f>IF(F10&gt;0,MAX(0,36-Assumptions!$B$4/F10*12),0)</f>
        <v/>
      </c>
      <c r="J10" s="5">
        <f>IF(G10="never","FAILS",IF(G10&lt;=24,"FAST",IF(G10&lt;36,"OK","FAILS")))</f>
        <v/>
      </c>
    </row>
    <row r="11">
      <c r="A11" s="5" t="inlineStr">
        <is>
          <t>SELL heat + SOLAR · 70% (realistic best)</t>
        </is>
      </c>
      <c r="B11" s="6" t="inlineStr">
        <is>
          <t>sold</t>
        </is>
      </c>
      <c r="C11" s="7" t="n">
        <v>0.7</v>
      </c>
      <c r="D11" s="8" t="n">
        <v>12</v>
      </c>
      <c r="E11" s="8" t="n">
        <v>16</v>
      </c>
      <c r="F11" s="9">
        <f>Assumptions!$B$7*(Assumptions!$B$6*Assumptions!$B$8*C11*Assumptions!$B$12 + Assumptions!$B$11*C11*Assumptions!$B$12*(E11/100) - Assumptions!$B$11*C11*Assumptions!$B$12*(D11/100) - Assumptions!$B$5*Assumptions!$B$9 - Assumptions!$B$10)</f>
        <v/>
      </c>
      <c r="G11" s="10">
        <f>IF(F11&gt;0,Assumptions!$B$4/F11*12,"never")</f>
        <v/>
      </c>
      <c r="H11" s="11">
        <f>F11/Assumptions!$B$4</f>
        <v/>
      </c>
      <c r="I11" s="12">
        <f>IF(F11&gt;0,MAX(0,36-Assumptions!$B$4/F11*12),0)</f>
        <v/>
      </c>
      <c r="J11" s="5">
        <f>IF(G11="never","FAILS",IF(G11&lt;=24,"FAST",IF(G11&lt;36,"OK","FAILS")))</f>
        <v/>
      </c>
    </row>
    <row r="12">
      <c r="A12" s="5" t="inlineStr">
        <is>
          <t>SELL heat + SOLAR · CONTRACTED (ceiling)</t>
        </is>
      </c>
      <c r="B12" s="6" t="inlineStr">
        <is>
          <t>sold</t>
        </is>
      </c>
      <c r="C12" s="7" t="n">
        <v>0.9</v>
      </c>
      <c r="D12" s="8" t="n">
        <v>12</v>
      </c>
      <c r="E12" s="8" t="n">
        <v>16</v>
      </c>
      <c r="F12" s="9">
        <f>Assumptions!$B$7*(Assumptions!$B$6*Assumptions!$B$8*C12*Assumptions!$B$12 + Assumptions!$B$11*C12*Assumptions!$B$12*(E12/100) - Assumptions!$B$11*C12*Assumptions!$B$12*(D12/100) - Assumptions!$B$5*Assumptions!$B$9 - Assumptions!$B$10)</f>
        <v/>
      </c>
      <c r="G12" s="10">
        <f>IF(F12&gt;0,Assumptions!$B$4/F12*12,"never")</f>
        <v/>
      </c>
      <c r="H12" s="11">
        <f>F12/Assumptions!$B$4</f>
        <v/>
      </c>
      <c r="I12" s="12">
        <f>IF(F12&gt;0,MAX(0,36-Assumptions!$B$4/F12*12),0)</f>
        <v/>
      </c>
      <c r="J12" s="5">
        <f>IF(G12="never","FAILS",IF(G12&lt;=24,"FAST",IF(G12&lt;36,"OK","FAILS")))</f>
        <v/>
      </c>
    </row>
    <row r="14" ht="42" customHeight="1">
      <c r="A14" s="13" t="inlineStr">
        <is>
          <t>THE ANSWER TO 'FREE HEAT, NO SOLAR': it wins you the SITE (free = no procurement, fast yes) but on grid power it needs CONTRACTED demand just to reach ~34mo — past the 3-yr chip cliff — and on spot it's 5+ years. Free heat opens the door; it does not pay the bills.</t>
        </is>
      </c>
    </row>
    <row r="15" ht="46" customHeight="1">
      <c r="A15" s="14" t="inlineStr">
        <is>
          <t>FASTEST RETURN: a school that is OFF the gas grid (oil/electric heat worth ~20–25p/kWh, so SELL it at a discount) AND has solar — payback ~17–22 months, ~£55–71k/yr on your £100k. The demand lever (your own token endpoint or one anchor customer for 36 GPUs) is the bit you must secure; at this small scale it's tractable, unlike a 4MW site.</t>
        </is>
      </c>
    </row>
  </sheetData>
  <mergeCells count="3">
    <mergeCell ref="A15:J15"/>
    <mergeCell ref="A14:J14"/>
    <mergeCell ref="A2:J2"/>
  </mergeCells>
  <conditionalFormatting sqref="J5:J12">
    <cfRule type="cellIs" priority="1" operator="equal" dxfId="0">
      <formula>"FAST"</formula>
    </cfRule>
    <cfRule type="cellIs" priority="2" operator="equal" dxfId="1">
      <formula>"OK"</formula>
    </cfRule>
    <cfRule type="cellIs" priority="3" operator="equal" dxfId="2">
      <formula>"FAILS"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34" customWidth="1" min="3" max="3"/>
  </cols>
  <sheetData>
    <row r="1">
      <c r="A1" s="1" t="inlineStr">
        <is>
          <t>Assumptions (edit yellow)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4">
      <c r="A4" t="inlineStr">
        <is>
          <t>Your capital £</t>
        </is>
      </c>
      <c r="B4" s="15" t="n">
        <v>100000</v>
      </c>
    </row>
    <row r="5">
      <c r="A5" t="inlineStr">
        <is>
          <t>Box cost £ (6× RTX 4090, water-cooled, audited)</t>
        </is>
      </c>
      <c r="B5" s="15" t="n">
        <v>15200</v>
      </c>
    </row>
    <row r="6">
      <c r="A6" t="inlineStr">
        <is>
          <t>GPUs per box</t>
        </is>
      </c>
      <c r="B6" s="16" t="n">
        <v>6</v>
      </c>
    </row>
    <row r="7">
      <c r="A7" t="inlineStr">
        <is>
          <t>Boxes (= capital ÷ box cost)</t>
        </is>
      </c>
      <c r="B7" s="17">
        <f>ROUNDDOWN(B4/B5,0)</f>
        <v/>
      </c>
    </row>
    <row r="8">
      <c r="A8" t="inlineStr">
        <is>
          <t>Host £/hr per GPU (compute rate, contracted)</t>
        </is>
      </c>
      <c r="B8" s="18" t="n">
        <v>0.252</v>
      </c>
      <c r="C8" s="19" t="inlineStr">
        <is>
          <t>audited typical host rate; spot is similar £/hr but lower util</t>
        </is>
      </c>
    </row>
    <row r="9">
      <c r="A9" t="inlineStr">
        <is>
          <t>Maintenance %/yr</t>
        </is>
      </c>
      <c r="B9" s="7" t="n">
        <v>0.05</v>
      </c>
    </row>
    <row r="10">
      <c r="A10" t="inlineStr">
        <is>
          <t>Other opex £/box/yr</t>
        </is>
      </c>
      <c r="B10" s="15" t="n">
        <v>150</v>
      </c>
    </row>
    <row r="11">
      <c r="A11" t="inlineStr">
        <is>
          <t>Box power (kW)</t>
        </is>
      </c>
      <c r="B11" s="8" t="n">
        <v>2.7</v>
      </c>
    </row>
    <row r="12">
      <c r="A12" t="inlineStr">
        <is>
          <t>Hours/yr</t>
        </is>
      </c>
      <c r="B12" s="16" t="n">
        <v>8760</v>
      </c>
    </row>
    <row r="14">
      <c r="A14" s="20" t="inlineStr">
        <is>
          <t>THE LEVER MENU (set per scenario on the Answer tab):</t>
        </is>
      </c>
    </row>
    <row r="15" ht="22" customHeight="1">
      <c r="A15" s="21" t="inlineStr">
        <is>
          <t>Util: spot ~55% · your token endpoint ~70% · contracted ~90%</t>
        </is>
      </c>
    </row>
    <row r="16" ht="22" customHeight="1">
      <c r="A16" s="21" t="inlineStr">
        <is>
          <t>Power: school grid ~24p · school SOLAR (behind-meter) ~12p</t>
        </is>
      </c>
    </row>
    <row r="17" ht="22" customHeight="1">
      <c r="A17" s="21" t="inlineStr">
        <is>
          <t>Heat: FREE (0p, wins the site) · SOLD to an off-gas school (oil/electric heat worth 20–25p → sell ~16p)</t>
        </is>
      </c>
    </row>
    <row r="18" ht="22" customHeight="1">
      <c r="A18" s="21" t="inlineStr">
        <is>
          <t>Heat sold p/kWh is YOUR second revenue line; only worthwhile where the school's heat is expensive (off gas grid)</t>
        </is>
      </c>
    </row>
  </sheetData>
  <mergeCells count="4">
    <mergeCell ref="A15:C15"/>
    <mergeCell ref="A18:C18"/>
    <mergeCell ref="A16:C16"/>
    <mergeCell ref="A17:C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Notes — the trade-offs behind the numbers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3" ht="58" customHeight="1">
      <c r="A3" s="21" t="inlineStr">
        <is>
          <t>1. FREE HEAT vs SOLD HEAT is a SPEED-vs-MONEY trade. Free heat = no procurement, a fast 'yes', fast deployment of your £100k → the payback clock starts sooner. Sold heat = a heat-supply contract (procurement friction, schools are slow) but a second revenue line of ~£3.4k/box/yr at an off-gas school. Lead with free to win the door; switch to discounted heat where the heat is expensive.</t>
        </is>
      </c>
    </row>
    <row r="4" ht="58" customHeight="1">
      <c r="A4" s="21" t="inlineStr">
        <is>
          <t>2. WHERE HEAT IS WORTH SELLING: gas-heated schools displace heat worth only ~6p/kWh — selling it adds little. OFF-GAS-GRID schools (rural, oil/LPG/electric) displace 8–25p/kWh — there the heat is a real second revenue stream. Bonus: rural off-gas schools are also the ones most likely to have roof/land for solar. That convergence (valuable heat + solar) is your best first site.</t>
        </is>
      </c>
    </row>
    <row r="5" ht="58" customHeight="1">
      <c r="A5" s="21" t="inlineStr">
        <is>
          <t>3. THE DEMAND LEVER IS STILL THE BOTTLENECK — but tractable at this scale. 36 GPUs is a small endpoint you could plausibly fill via your own OpenRouter token-serving or one anchor customer (~£30–50k/mo deal). 90% 'contracted' is the optimistic ceiling; 70% (your-own-endpoint, ramping) is the realistic planning number — that's why both are shown.</t>
        </is>
      </c>
    </row>
    <row r="6" ht="58" customHeight="1">
      <c r="A6" s="21" t="inlineStr">
        <is>
          <t>4. CHIP LIFE is the hard ceiling. A GPU's rental rate collapses ~80–95% over 5–6 years (V100 now $0.02/hr). Treat 36 months as the must-beat line; anything over ~30mo leaves almost no profit window before you re-capex the chips.</t>
        </is>
      </c>
    </row>
    <row r="7" ht="58" customHeight="1">
      <c r="A7" s="21" t="inlineStr">
        <is>
          <t>5. WHAT £100k REALLY BUYS YOU: even in the best case it's ~£55–71k/yr — a good return on £100k, but a SMALL business in absolute terms. Its bigger value is PROOF: one site that pays back in &lt;2 years validates a repeatable unit you can then scale or raise against. Treat the first £100k as buying both cash AND de-risking evidence.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2026-06-07T20:06:10Z</dcterms:created>
  <dcterms:modified xmlns:dcterms="http://purl.org/dc/terms/" xmlns:xsi="http://www.w3.org/2001/XMLSchema-instance" xsi:type="dcterms:W3CDTF">2026-06-07T20:06:10Z</dcterms:modified>
</cp:coreProperties>
</file>