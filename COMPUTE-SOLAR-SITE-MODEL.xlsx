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Energy" sheetId="2" state="visible" r:id="rId2"/>
    <sheet xmlns:r="http://schemas.openxmlformats.org/officeDocument/2006/relationships" name="Economics" sheetId="3" state="visible" r:id="rId3"/>
    <sheet xmlns:r="http://schemas.openxmlformats.org/officeDocument/2006/relationships" name="Solar Sweep" sheetId="4" state="visible" r:id="rId4"/>
    <sheet xmlns:r="http://schemas.openxmlformats.org/officeDocument/2006/relationships"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£#,##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1F4E79"/>
      <sz val="11"/>
    </font>
    <font>
      <b val="1"/>
      <i val="1"/>
      <color rgb="00B71C1C"/>
    </font>
    <font>
      <b val="1"/>
      <color rgb="00FFFFFF"/>
    </font>
    <font>
      <b val="1"/>
    </font>
    <font>
      <b val="1"/>
      <sz val="12"/>
    </font>
    <font>
      <b val="1"/>
      <i val="1"/>
      <color rgb="00E65100"/>
    </font>
    <font>
      <b val="1"/>
      <i val="1"/>
      <color rgb="001F4E79"/>
    </font>
    <font>
      <i val="1"/>
      <color rgb="00E65100"/>
    </font>
    <font>
      <b val="1"/>
      <color rgb="001F4E79"/>
    </font>
    <font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3" fontId="0" fillId="3" borderId="1" pivotButton="0" quotePrefix="0" xfId="0"/>
    <xf numFmtId="0" fontId="2" fillId="0" borderId="0" pivotButton="0" quotePrefix="0" xfId="0"/>
    <xf numFmtId="165" fontId="0" fillId="3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3" fontId="6" fillId="5" borderId="1" pivotButton="0" quotePrefix="0" xfId="0"/>
    <xf numFmtId="165" fontId="6" fillId="5" borderId="1" pivotButton="0" quotePrefix="0" xfId="0"/>
    <xf numFmtId="164" fontId="7" fillId="5" borderId="0" pivotButton="0" quotePrefix="0" xfId="0"/>
    <xf numFmtId="9" fontId="0" fillId="5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6" fillId="5" borderId="0" pivotButton="0" quotePrefix="0" xfId="0"/>
    <xf numFmtId="165" fontId="0" fillId="0" borderId="0" pivotButton="0" quotePrefix="0" xfId="0"/>
    <xf numFmtId="165" fontId="6" fillId="5" borderId="0" pivotButton="0" quotePrefix="0" xfId="0"/>
    <xf numFmtId="164" fontId="0" fillId="0" borderId="0" pivotButton="0" quotePrefix="0" xfId="0"/>
    <xf numFmtId="0" fontId="6" fillId="5" borderId="0" pivotButton="0" quotePrefix="0" xfId="0"/>
    <xf numFmtId="0" fontId="8" fillId="0" borderId="0" applyAlignment="1" pivotButton="0" quotePrefix="0" xfId="0">
      <alignment wrapText="1"/>
    </xf>
    <xf numFmtId="164" fontId="6" fillId="5" borderId="1" pivotButton="0" quotePrefix="0" xfId="0"/>
    <xf numFmtId="9" fontId="0" fillId="0" borderId="1" pivotButton="0" quotePrefix="0" xfId="0"/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re.jrc.ec.europa.eu/pvg_tools/en/" TargetMode="External" Id="rId1"/><Relationship Type="http://schemas.openxmlformats.org/officeDocument/2006/relationships/hyperlink" Target="https://www.nationalgrideso.com/industry-information/connections" TargetMode="External" Id="rId2"/><Relationship Type="http://schemas.openxmlformats.org/officeDocument/2006/relationships/hyperlink" Target="https://www.nrel.gov/analysis/tech-cost-analysis.html" TargetMode="External" Id="rId3"/><Relationship Type="http://schemas.openxmlformats.org/officeDocument/2006/relationships/hyperlink" Target="https://vast.ai/pricing/gpu/TESLA-V1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Solar + Battery + Grid Compute Site — assumptions (edit yellow)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3" t="inlineStr">
        <is>
          <t>A 4MW grid IMPORT connection guarantees 24/7/365 power (so ~90% GPU utilisation — fixes the seasonal mismatch). Solar + LFP battery cut the power COST, not the utilisation.</t>
        </is>
      </c>
    </row>
    <row r="4">
      <c r="A4" s="4" t="inlineStr">
        <is>
          <t>SITE</t>
        </is>
      </c>
    </row>
    <row r="5">
      <c r="A5" t="inlineStr">
        <is>
          <t>Grid IMPORT connection (MW)</t>
        </is>
      </c>
      <c r="B5" s="5" t="n">
        <v>4</v>
      </c>
    </row>
    <row r="6">
      <c r="A6" t="inlineStr">
        <is>
          <t>Compute load (MW)</t>
        </is>
      </c>
      <c r="B6" s="5" t="n">
        <v>4</v>
      </c>
    </row>
    <row r="7">
      <c r="A7" t="inlineStr">
        <is>
          <t>Solar array (MWp)</t>
        </is>
      </c>
      <c r="B7" s="5" t="n">
        <v>8</v>
      </c>
    </row>
    <row r="8">
      <c r="A8" t="inlineStr">
        <is>
          <t>LFP battery usable (MWh, 1 cycle/day)</t>
        </is>
      </c>
      <c r="B8" s="5" t="n">
        <v>8</v>
      </c>
    </row>
    <row r="9">
      <c r="A9" t="inlineStr">
        <is>
          <t>Utilisation (grid-backed)</t>
        </is>
      </c>
      <c r="B9" s="6" t="n">
        <v>0.9</v>
      </c>
    </row>
    <row r="10">
      <c r="A10" t="inlineStr">
        <is>
          <t>Daylight window (h, when solar offsets load)</t>
        </is>
      </c>
      <c r="B10" s="7" t="n">
        <v>12</v>
      </c>
    </row>
    <row r="12">
      <c r="A12" s="4" t="inlineStr">
        <is>
          <t>POWER PRICES (p/kWh)</t>
        </is>
      </c>
    </row>
    <row r="13">
      <c r="A13" t="inlineStr">
        <is>
          <t>Solar LCOE (your panels' £/kWh)</t>
        </is>
      </c>
      <c r="B13" s="5" t="n">
        <v>4</v>
      </c>
      <c r="C13" s="8" t="inlineStr">
        <is>
          <t>UK ground-mount solar ~£30–50/MWh</t>
        </is>
      </c>
    </row>
    <row r="14">
      <c r="A14" t="inlineStr">
        <is>
          <t>Grid NIGHT / off-peak</t>
        </is>
      </c>
      <c r="B14" s="5" t="n">
        <v>13</v>
      </c>
      <c r="C14" s="8" t="inlineStr">
        <is>
          <t>Economy-7 / wholesale night ~10–14p</t>
        </is>
      </c>
    </row>
    <row r="15">
      <c r="A15" t="inlineStr">
        <is>
          <t>Grid DAY / peak</t>
        </is>
      </c>
      <c r="B15" s="5" t="n">
        <v>25</v>
      </c>
    </row>
    <row r="16">
      <c r="A16" t="inlineStr">
        <is>
          <t>Battery amortisation per kWh cycled</t>
        </is>
      </c>
      <c r="B16" s="5" t="n">
        <v>4.6</v>
      </c>
      <c r="C16" s="8" t="inlineStr">
        <is>
          <t>LFP £250/kWh ÷ 6,000 cycles ÷ 0.9 ≈ 4.6p</t>
        </is>
      </c>
    </row>
    <row r="17">
      <c r="A17" t="inlineStr">
        <is>
          <t>Battery round-trip efficiency</t>
        </is>
      </c>
      <c r="B17" s="6" t="n">
        <v>0.9</v>
      </c>
    </row>
    <row r="20">
      <c r="A20" s="4" t="inlineStr">
        <is>
          <t>COMPUTE (the 3-year consumable)</t>
        </is>
      </c>
    </row>
    <row r="21">
      <c r="A21" t="inlineStr">
        <is>
          <t>Compute capex £/MW (chips+servers+heat)</t>
        </is>
      </c>
      <c r="B21" s="9" t="n">
        <v>5630000</v>
      </c>
    </row>
    <row r="22">
      <c r="A22" t="inlineStr">
        <is>
          <t>Revenue £/MWh of power drawn (contracted)</t>
        </is>
      </c>
      <c r="B22" s="9" t="n">
        <v>560</v>
      </c>
      <c r="C22" s="8" t="inlineStr">
        <is>
          <t>£560/MWh = contracted £0.25/hr per 0.45kW GPU. SPOT is far lower — see note.</t>
        </is>
      </c>
    </row>
    <row r="23">
      <c r="A23" t="inlineStr">
        <is>
          <t>Maintenance (% capex/yr)</t>
        </is>
      </c>
      <c r="B23" s="6" t="n">
        <v>0.05</v>
      </c>
    </row>
    <row r="24">
      <c r="A24" t="inlineStr">
        <is>
          <t>Other opex £/MW/yr</t>
        </is>
      </c>
      <c r="B24" s="9" t="n">
        <v>30000</v>
      </c>
    </row>
    <row r="25">
      <c r="A25" t="inlineStr">
        <is>
          <t>Chip ECONOMIC life (yrs) — payback MUST beat this</t>
        </is>
      </c>
      <c r="B25" s="5" t="n">
        <v>3</v>
      </c>
      <c r="C25" s="10" t="inlineStr">
        <is>
          <t>V100 (8yr) now rents $0.02/hr — chips die economically at ~3 yr</t>
        </is>
      </c>
    </row>
    <row r="27">
      <c r="A27" s="4" t="inlineStr">
        <is>
          <t>ENERGY INFRASTRUCTURE (the 25-year durable asset)</t>
        </is>
      </c>
    </row>
    <row r="28">
      <c r="A28" t="inlineStr">
        <is>
          <t>Solar capex £/MWp</t>
        </is>
      </c>
      <c r="B28" s="9" t="n">
        <v>600000</v>
      </c>
    </row>
    <row r="29">
      <c r="A29" t="inlineStr">
        <is>
          <t>LFP battery capex £/MWh</t>
        </is>
      </c>
      <c r="B29" s="9" t="n">
        <v>250000</v>
      </c>
    </row>
    <row r="30">
      <c r="A30" t="inlineStr">
        <is>
          <t>Grid connection capex £</t>
        </is>
      </c>
      <c r="B30" s="9" t="n">
        <v>1000000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UK year, month by month — where the power comes from (all MWh)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3" t="inlineStr">
        <is>
          <t>Solar serves daytime load first; surplus charges the battery; battery covers evening; grid (cheap night / peak day) backstops. Live off Assumptions.</t>
        </is>
      </c>
    </row>
    <row r="4" ht="30" customHeight="1">
      <c r="A4" s="11" t="inlineStr">
        <is>
          <t>Month</t>
        </is>
      </c>
      <c r="B4" s="11" t="inlineStr">
        <is>
          <t>Days</t>
        </is>
      </c>
      <c r="C4" s="11" t="inlineStr">
        <is>
          <t>PSH</t>
        </is>
      </c>
      <c r="D4" s="11" t="inlineStr">
        <is>
          <t>Solar gen</t>
        </is>
      </c>
      <c r="E4" s="11" t="inlineStr">
        <is>
          <t>Day load</t>
        </is>
      </c>
      <c r="F4" s="11" t="inlineStr">
        <is>
          <t>Night load</t>
        </is>
      </c>
      <c r="G4" s="11" t="inlineStr">
        <is>
          <t>Solar→day</t>
        </is>
      </c>
      <c r="H4" s="11" t="inlineStr">
        <is>
          <t>Surplus</t>
        </is>
      </c>
      <c r="I4" s="11" t="inlineStr">
        <is>
          <t>→Battery</t>
        </is>
      </c>
      <c r="J4" s="11" t="inlineStr">
        <is>
          <t>Curtailed</t>
        </is>
      </c>
      <c r="K4" s="11" t="inlineStr">
        <is>
          <t>Batt→night</t>
        </is>
      </c>
      <c r="L4" s="11" t="inlineStr">
        <is>
          <t>Grid day</t>
        </is>
      </c>
      <c r="M4" s="11" t="inlineStr">
        <is>
          <t>Grid night</t>
        </is>
      </c>
      <c r="N4" s="11" t="inlineStr">
        <is>
          <t>Cost £</t>
        </is>
      </c>
    </row>
    <row r="5">
      <c r="A5" s="12" t="inlineStr">
        <is>
          <t>Jan</t>
        </is>
      </c>
      <c r="B5" s="12" t="n">
        <v>31</v>
      </c>
      <c r="C5" s="12" t="n">
        <v>0.74</v>
      </c>
      <c r="D5" s="13">
        <f>Assumptions!$B$7*C5*B5</f>
        <v/>
      </c>
      <c r="E5" s="13">
        <f>Assumptions!$B$6*Assumptions!$B$10*Assumptions!$B$9*B5</f>
        <v/>
      </c>
      <c r="F5" s="13">
        <f>Assumptions!$B$6*(24-Assumptions!$B$10)*Assumptions!$B$9*B5</f>
        <v/>
      </c>
      <c r="G5" s="13">
        <f>MIN(D5,E5)</f>
        <v/>
      </c>
      <c r="H5" s="13">
        <f>MAX(0,D5-E5)</f>
        <v/>
      </c>
      <c r="I5" s="13">
        <f>MIN(H5,Assumptions!$B$8*B5)</f>
        <v/>
      </c>
      <c r="J5" s="13">
        <f>H5-I5</f>
        <v/>
      </c>
      <c r="K5" s="13">
        <f>I5*Assumptions!$B$17</f>
        <v/>
      </c>
      <c r="L5" s="13">
        <f>E5-G5</f>
        <v/>
      </c>
      <c r="M5" s="13">
        <f>MAX(0,F5-K5)</f>
        <v/>
      </c>
      <c r="N5" s="14">
        <f>((G5+I5)*Assumptions!$B$13+K5*Assumptions!$B$16+L5*Assumptions!$B$15+M5*Assumptions!$B$14)*10</f>
        <v/>
      </c>
    </row>
    <row r="6">
      <c r="A6" s="12" t="inlineStr">
        <is>
          <t>Feb</t>
        </is>
      </c>
      <c r="B6" s="12" t="n">
        <v>28</v>
      </c>
      <c r="C6" s="12" t="n">
        <v>1.36</v>
      </c>
      <c r="D6" s="13">
        <f>Assumptions!$B$7*C6*B6</f>
        <v/>
      </c>
      <c r="E6" s="13">
        <f>Assumptions!$B$6*Assumptions!$B$10*Assumptions!$B$9*B6</f>
        <v/>
      </c>
      <c r="F6" s="13">
        <f>Assumptions!$B$6*(24-Assumptions!$B$10)*Assumptions!$B$9*B6</f>
        <v/>
      </c>
      <c r="G6" s="13">
        <f>MIN(D6,E6)</f>
        <v/>
      </c>
      <c r="H6" s="13">
        <f>MAX(0,D6-E6)</f>
        <v/>
      </c>
      <c r="I6" s="13">
        <f>MIN(H6,Assumptions!$B$8*B6)</f>
        <v/>
      </c>
      <c r="J6" s="13">
        <f>H6-I6</f>
        <v/>
      </c>
      <c r="K6" s="13">
        <f>I6*Assumptions!$B$17</f>
        <v/>
      </c>
      <c r="L6" s="13">
        <f>E6-G6</f>
        <v/>
      </c>
      <c r="M6" s="13">
        <f>MAX(0,F6-K6)</f>
        <v/>
      </c>
      <c r="N6" s="14">
        <f>((G6+I6)*Assumptions!$B$13+K6*Assumptions!$B$16+L6*Assumptions!$B$15+M6*Assumptions!$B$14)*10</f>
        <v/>
      </c>
    </row>
    <row r="7">
      <c r="A7" s="12" t="inlineStr">
        <is>
          <t>Mar</t>
        </is>
      </c>
      <c r="B7" s="12" t="n">
        <v>31</v>
      </c>
      <c r="C7" s="12" t="n">
        <v>2.31</v>
      </c>
      <c r="D7" s="13">
        <f>Assumptions!$B$7*C7*B7</f>
        <v/>
      </c>
      <c r="E7" s="13">
        <f>Assumptions!$B$6*Assumptions!$B$10*Assumptions!$B$9*B7</f>
        <v/>
      </c>
      <c r="F7" s="13">
        <f>Assumptions!$B$6*(24-Assumptions!$B$10)*Assumptions!$B$9*B7</f>
        <v/>
      </c>
      <c r="G7" s="13">
        <f>MIN(D7,E7)</f>
        <v/>
      </c>
      <c r="H7" s="13">
        <f>MAX(0,D7-E7)</f>
        <v/>
      </c>
      <c r="I7" s="13">
        <f>MIN(H7,Assumptions!$B$8*B7)</f>
        <v/>
      </c>
      <c r="J7" s="13">
        <f>H7-I7</f>
        <v/>
      </c>
      <c r="K7" s="13">
        <f>I7*Assumptions!$B$17</f>
        <v/>
      </c>
      <c r="L7" s="13">
        <f>E7-G7</f>
        <v/>
      </c>
      <c r="M7" s="13">
        <f>MAX(0,F7-K7)</f>
        <v/>
      </c>
      <c r="N7" s="14">
        <f>((G7+I7)*Assumptions!$B$13+K7*Assumptions!$B$16+L7*Assumptions!$B$15+M7*Assumptions!$B$14)*10</f>
        <v/>
      </c>
    </row>
    <row r="8">
      <c r="A8" s="12" t="inlineStr">
        <is>
          <t>Apr</t>
        </is>
      </c>
      <c r="B8" s="12" t="n">
        <v>30</v>
      </c>
      <c r="C8" s="12" t="n">
        <v>3.42</v>
      </c>
      <c r="D8" s="13">
        <f>Assumptions!$B$7*C8*B8</f>
        <v/>
      </c>
      <c r="E8" s="13">
        <f>Assumptions!$B$6*Assumptions!$B$10*Assumptions!$B$9*B8</f>
        <v/>
      </c>
      <c r="F8" s="13">
        <f>Assumptions!$B$6*(24-Assumptions!$B$10)*Assumptions!$B$9*B8</f>
        <v/>
      </c>
      <c r="G8" s="13">
        <f>MIN(D8,E8)</f>
        <v/>
      </c>
      <c r="H8" s="13">
        <f>MAX(0,D8-E8)</f>
        <v/>
      </c>
      <c r="I8" s="13">
        <f>MIN(H8,Assumptions!$B$8*B8)</f>
        <v/>
      </c>
      <c r="J8" s="13">
        <f>H8-I8</f>
        <v/>
      </c>
      <c r="K8" s="13">
        <f>I8*Assumptions!$B$17</f>
        <v/>
      </c>
      <c r="L8" s="13">
        <f>E8-G8</f>
        <v/>
      </c>
      <c r="M8" s="13">
        <f>MAX(0,F8-K8)</f>
        <v/>
      </c>
      <c r="N8" s="14">
        <f>((G8+I8)*Assumptions!$B$13+K8*Assumptions!$B$16+L8*Assumptions!$B$15+M8*Assumptions!$B$14)*10</f>
        <v/>
      </c>
    </row>
    <row r="9">
      <c r="A9" s="12" t="inlineStr">
        <is>
          <t>May</t>
        </is>
      </c>
      <c r="B9" s="12" t="n">
        <v>31</v>
      </c>
      <c r="C9" s="12" t="n">
        <v>4.38</v>
      </c>
      <c r="D9" s="13">
        <f>Assumptions!$B$7*C9*B9</f>
        <v/>
      </c>
      <c r="E9" s="13">
        <f>Assumptions!$B$6*Assumptions!$B$10*Assumptions!$B$9*B9</f>
        <v/>
      </c>
      <c r="F9" s="13">
        <f>Assumptions!$B$6*(24-Assumptions!$B$10)*Assumptions!$B$9*B9</f>
        <v/>
      </c>
      <c r="G9" s="13">
        <f>MIN(D9,E9)</f>
        <v/>
      </c>
      <c r="H9" s="13">
        <f>MAX(0,D9-E9)</f>
        <v/>
      </c>
      <c r="I9" s="13">
        <f>MIN(H9,Assumptions!$B$8*B9)</f>
        <v/>
      </c>
      <c r="J9" s="13">
        <f>H9-I9</f>
        <v/>
      </c>
      <c r="K9" s="13">
        <f>I9*Assumptions!$B$17</f>
        <v/>
      </c>
      <c r="L9" s="13">
        <f>E9-G9</f>
        <v/>
      </c>
      <c r="M9" s="13">
        <f>MAX(0,F9-K9)</f>
        <v/>
      </c>
      <c r="N9" s="14">
        <f>((G9+I9)*Assumptions!$B$13+K9*Assumptions!$B$16+L9*Assumptions!$B$15+M9*Assumptions!$B$14)*10</f>
        <v/>
      </c>
    </row>
    <row r="10">
      <c r="A10" s="12" t="inlineStr">
        <is>
          <t>Jun</t>
        </is>
      </c>
      <c r="B10" s="12" t="n">
        <v>30</v>
      </c>
      <c r="C10" s="12" t="n">
        <v>4.5</v>
      </c>
      <c r="D10" s="13">
        <f>Assumptions!$B$7*C10*B10</f>
        <v/>
      </c>
      <c r="E10" s="13">
        <f>Assumptions!$B$6*Assumptions!$B$10*Assumptions!$B$9*B10</f>
        <v/>
      </c>
      <c r="F10" s="13">
        <f>Assumptions!$B$6*(24-Assumptions!$B$10)*Assumptions!$B$9*B10</f>
        <v/>
      </c>
      <c r="G10" s="13">
        <f>MIN(D10,E10)</f>
        <v/>
      </c>
      <c r="H10" s="13">
        <f>MAX(0,D10-E10)</f>
        <v/>
      </c>
      <c r="I10" s="13">
        <f>MIN(H10,Assumptions!$B$8*B10)</f>
        <v/>
      </c>
      <c r="J10" s="13">
        <f>H10-I10</f>
        <v/>
      </c>
      <c r="K10" s="13">
        <f>I10*Assumptions!$B$17</f>
        <v/>
      </c>
      <c r="L10" s="13">
        <f>E10-G10</f>
        <v/>
      </c>
      <c r="M10" s="13">
        <f>MAX(0,F10-K10)</f>
        <v/>
      </c>
      <c r="N10" s="14">
        <f>((G10+I10)*Assumptions!$B$13+K10*Assumptions!$B$16+L10*Assumptions!$B$15+M10*Assumptions!$B$14)*10</f>
        <v/>
      </c>
    </row>
    <row r="11">
      <c r="A11" s="12" t="inlineStr">
        <is>
          <t>Jul</t>
        </is>
      </c>
      <c r="B11" s="12" t="n">
        <v>31</v>
      </c>
      <c r="C11" s="12" t="n">
        <v>4.35</v>
      </c>
      <c r="D11" s="13">
        <f>Assumptions!$B$7*C11*B11</f>
        <v/>
      </c>
      <c r="E11" s="13">
        <f>Assumptions!$B$6*Assumptions!$B$10*Assumptions!$B$9*B11</f>
        <v/>
      </c>
      <c r="F11" s="13">
        <f>Assumptions!$B$6*(24-Assumptions!$B$10)*Assumptions!$B$9*B11</f>
        <v/>
      </c>
      <c r="G11" s="13">
        <f>MIN(D11,E11)</f>
        <v/>
      </c>
      <c r="H11" s="13">
        <f>MAX(0,D11-E11)</f>
        <v/>
      </c>
      <c r="I11" s="13">
        <f>MIN(H11,Assumptions!$B$8*B11)</f>
        <v/>
      </c>
      <c r="J11" s="13">
        <f>H11-I11</f>
        <v/>
      </c>
      <c r="K11" s="13">
        <f>I11*Assumptions!$B$17</f>
        <v/>
      </c>
      <c r="L11" s="13">
        <f>E11-G11</f>
        <v/>
      </c>
      <c r="M11" s="13">
        <f>MAX(0,F11-K11)</f>
        <v/>
      </c>
      <c r="N11" s="14">
        <f>((G11+I11)*Assumptions!$B$13+K11*Assumptions!$B$16+L11*Assumptions!$B$15+M11*Assumptions!$B$14)*10</f>
        <v/>
      </c>
    </row>
    <row r="12">
      <c r="A12" s="12" t="inlineStr">
        <is>
          <t>Aug</t>
        </is>
      </c>
      <c r="B12" s="12" t="n">
        <v>31</v>
      </c>
      <c r="C12" s="12" t="n">
        <v>3.78</v>
      </c>
      <c r="D12" s="13">
        <f>Assumptions!$B$7*C12*B12</f>
        <v/>
      </c>
      <c r="E12" s="13">
        <f>Assumptions!$B$6*Assumptions!$B$10*Assumptions!$B$9*B12</f>
        <v/>
      </c>
      <c r="F12" s="13">
        <f>Assumptions!$B$6*(24-Assumptions!$B$10)*Assumptions!$B$9*B12</f>
        <v/>
      </c>
      <c r="G12" s="13">
        <f>MIN(D12,E12)</f>
        <v/>
      </c>
      <c r="H12" s="13">
        <f>MAX(0,D12-E12)</f>
        <v/>
      </c>
      <c r="I12" s="13">
        <f>MIN(H12,Assumptions!$B$8*B12)</f>
        <v/>
      </c>
      <c r="J12" s="13">
        <f>H12-I12</f>
        <v/>
      </c>
      <c r="K12" s="13">
        <f>I12*Assumptions!$B$17</f>
        <v/>
      </c>
      <c r="L12" s="13">
        <f>E12-G12</f>
        <v/>
      </c>
      <c r="M12" s="13">
        <f>MAX(0,F12-K12)</f>
        <v/>
      </c>
      <c r="N12" s="14">
        <f>((G12+I12)*Assumptions!$B$13+K12*Assumptions!$B$16+L12*Assumptions!$B$15+M12*Assumptions!$B$14)*10</f>
        <v/>
      </c>
    </row>
    <row r="13">
      <c r="A13" s="12" t="inlineStr">
        <is>
          <t>Sep</t>
        </is>
      </c>
      <c r="B13" s="12" t="n">
        <v>30</v>
      </c>
      <c r="C13" s="12" t="n">
        <v>2.82</v>
      </c>
      <c r="D13" s="13">
        <f>Assumptions!$B$7*C13*B13</f>
        <v/>
      </c>
      <c r="E13" s="13">
        <f>Assumptions!$B$6*Assumptions!$B$10*Assumptions!$B$9*B13</f>
        <v/>
      </c>
      <c r="F13" s="13">
        <f>Assumptions!$B$6*(24-Assumptions!$B$10)*Assumptions!$B$9*B13</f>
        <v/>
      </c>
      <c r="G13" s="13">
        <f>MIN(D13,E13)</f>
        <v/>
      </c>
      <c r="H13" s="13">
        <f>MAX(0,D13-E13)</f>
        <v/>
      </c>
      <c r="I13" s="13">
        <f>MIN(H13,Assumptions!$B$8*B13)</f>
        <v/>
      </c>
      <c r="J13" s="13">
        <f>H13-I13</f>
        <v/>
      </c>
      <c r="K13" s="13">
        <f>I13*Assumptions!$B$17</f>
        <v/>
      </c>
      <c r="L13" s="13">
        <f>E13-G13</f>
        <v/>
      </c>
      <c r="M13" s="13">
        <f>MAX(0,F13-K13)</f>
        <v/>
      </c>
      <c r="N13" s="14">
        <f>((G13+I13)*Assumptions!$B$13+K13*Assumptions!$B$16+L13*Assumptions!$B$15+M13*Assumptions!$B$14)*10</f>
        <v/>
      </c>
    </row>
    <row r="14">
      <c r="A14" s="12" t="inlineStr">
        <is>
          <t>Oct</t>
        </is>
      </c>
      <c r="B14" s="12" t="n">
        <v>31</v>
      </c>
      <c r="C14" s="12" t="n">
        <v>1.61</v>
      </c>
      <c r="D14" s="13">
        <f>Assumptions!$B$7*C14*B14</f>
        <v/>
      </c>
      <c r="E14" s="13">
        <f>Assumptions!$B$6*Assumptions!$B$10*Assumptions!$B$9*B14</f>
        <v/>
      </c>
      <c r="F14" s="13">
        <f>Assumptions!$B$6*(24-Assumptions!$B$10)*Assumptions!$B$9*B14</f>
        <v/>
      </c>
      <c r="G14" s="13">
        <f>MIN(D14,E14)</f>
        <v/>
      </c>
      <c r="H14" s="13">
        <f>MAX(0,D14-E14)</f>
        <v/>
      </c>
      <c r="I14" s="13">
        <f>MIN(H14,Assumptions!$B$8*B14)</f>
        <v/>
      </c>
      <c r="J14" s="13">
        <f>H14-I14</f>
        <v/>
      </c>
      <c r="K14" s="13">
        <f>I14*Assumptions!$B$17</f>
        <v/>
      </c>
      <c r="L14" s="13">
        <f>E14-G14</f>
        <v/>
      </c>
      <c r="M14" s="13">
        <f>MAX(0,F14-K14)</f>
        <v/>
      </c>
      <c r="N14" s="14">
        <f>((G14+I14)*Assumptions!$B$13+K14*Assumptions!$B$16+L14*Assumptions!$B$15+M14*Assumptions!$B$14)*10</f>
        <v/>
      </c>
    </row>
    <row r="15">
      <c r="A15" s="12" t="inlineStr">
        <is>
          <t>Nov</t>
        </is>
      </c>
      <c r="B15" s="12" t="n">
        <v>30</v>
      </c>
      <c r="C15" s="12" t="n">
        <v>0.86</v>
      </c>
      <c r="D15" s="13">
        <f>Assumptions!$B$7*C15*B15</f>
        <v/>
      </c>
      <c r="E15" s="13">
        <f>Assumptions!$B$6*Assumptions!$B$10*Assumptions!$B$9*B15</f>
        <v/>
      </c>
      <c r="F15" s="13">
        <f>Assumptions!$B$6*(24-Assumptions!$B$10)*Assumptions!$B$9*B15</f>
        <v/>
      </c>
      <c r="G15" s="13">
        <f>MIN(D15,E15)</f>
        <v/>
      </c>
      <c r="H15" s="13">
        <f>MAX(0,D15-E15)</f>
        <v/>
      </c>
      <c r="I15" s="13">
        <f>MIN(H15,Assumptions!$B$8*B15)</f>
        <v/>
      </c>
      <c r="J15" s="13">
        <f>H15-I15</f>
        <v/>
      </c>
      <c r="K15" s="13">
        <f>I15*Assumptions!$B$17</f>
        <v/>
      </c>
      <c r="L15" s="13">
        <f>E15-G15</f>
        <v/>
      </c>
      <c r="M15" s="13">
        <f>MAX(0,F15-K15)</f>
        <v/>
      </c>
      <c r="N15" s="14">
        <f>((G15+I15)*Assumptions!$B$13+K15*Assumptions!$B$16+L15*Assumptions!$B$15+M15*Assumptions!$B$14)*10</f>
        <v/>
      </c>
    </row>
    <row r="16">
      <c r="A16" s="12" t="inlineStr">
        <is>
          <t>Dec</t>
        </is>
      </c>
      <c r="B16" s="12" t="n">
        <v>31</v>
      </c>
      <c r="C16" s="12" t="n">
        <v>0.6</v>
      </c>
      <c r="D16" s="13">
        <f>Assumptions!$B$7*C16*B16</f>
        <v/>
      </c>
      <c r="E16" s="13">
        <f>Assumptions!$B$6*Assumptions!$B$10*Assumptions!$B$9*B16</f>
        <v/>
      </c>
      <c r="F16" s="13">
        <f>Assumptions!$B$6*(24-Assumptions!$B$10)*Assumptions!$B$9*B16</f>
        <v/>
      </c>
      <c r="G16" s="13">
        <f>MIN(D16,E16)</f>
        <v/>
      </c>
      <c r="H16" s="13">
        <f>MAX(0,D16-E16)</f>
        <v/>
      </c>
      <c r="I16" s="13">
        <f>MIN(H16,Assumptions!$B$8*B16)</f>
        <v/>
      </c>
      <c r="J16" s="13">
        <f>H16-I16</f>
        <v/>
      </c>
      <c r="K16" s="13">
        <f>I16*Assumptions!$B$17</f>
        <v/>
      </c>
      <c r="L16" s="13">
        <f>E16-G16</f>
        <v/>
      </c>
      <c r="M16" s="13">
        <f>MAX(0,F16-K16)</f>
        <v/>
      </c>
      <c r="N16" s="14">
        <f>((G16+I16)*Assumptions!$B$13+K16*Assumptions!$B$16+L16*Assumptions!$B$15+M16*Assumptions!$B$14)*10</f>
        <v/>
      </c>
    </row>
    <row r="17">
      <c r="A17" s="15" t="inlineStr">
        <is>
          <t>TOTAL</t>
        </is>
      </c>
      <c r="D17" s="16">
        <f>SUM(D5:D16)</f>
        <v/>
      </c>
      <c r="E17" s="16">
        <f>SUM(E5:E16)</f>
        <v/>
      </c>
      <c r="F17" s="16">
        <f>SUM(F5:F16)</f>
        <v/>
      </c>
      <c r="G17" s="16">
        <f>SUM(G5:G16)</f>
        <v/>
      </c>
      <c r="H17" s="16">
        <f>SUM(H5:H16)</f>
        <v/>
      </c>
      <c r="I17" s="16">
        <f>SUM(I5:I16)</f>
        <v/>
      </c>
      <c r="J17" s="16">
        <f>SUM(J5:J16)</f>
        <v/>
      </c>
      <c r="K17" s="16">
        <f>SUM(K5:K16)</f>
        <v/>
      </c>
      <c r="L17" s="16">
        <f>SUM(L5:L16)</f>
        <v/>
      </c>
      <c r="M17" s="16">
        <f>SUM(M5:M16)</f>
        <v/>
      </c>
      <c r="N17" s="17">
        <f>SUM(N5:N16)</f>
        <v/>
      </c>
    </row>
    <row r="19">
      <c r="A19" s="15" t="inlineStr">
        <is>
          <t>Blended power cost (p/kWh)</t>
        </is>
      </c>
      <c r="D19" s="18">
        <f>N17/((E17+F17)*10)</f>
        <v/>
      </c>
    </row>
    <row r="20">
      <c r="A20" s="15" t="inlineStr">
        <is>
          <t>Solar self-consumed (%)</t>
        </is>
      </c>
      <c r="D20" s="19">
        <f>(G17+I17)/D17</f>
        <v/>
      </c>
    </row>
    <row r="21">
      <c r="A21" t="inlineStr">
        <is>
          <t>Curtailed solar (% of gen) — wasted</t>
        </is>
      </c>
      <c r="D21" s="20">
        <f>J17/D17</f>
        <v/>
      </c>
    </row>
  </sheetData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</cols>
  <sheetData>
    <row r="1">
      <c r="A1" s="1" t="inlineStr">
        <is>
          <t>Economics — two assets: 3-yr chips on 25-yr energy infrastructure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4" t="inlineStr">
        <is>
          <t>POWER (from the monthly sim)</t>
        </is>
      </c>
    </row>
    <row r="4">
      <c r="A4" t="inlineStr">
        <is>
          <t>Power drawn (MWh/yr)</t>
        </is>
      </c>
      <c r="B4" s="21">
        <f>('Monthly Energy'!$E$17+'Monthly Energy'!$F$17)</f>
        <v/>
      </c>
    </row>
    <row r="5">
      <c r="A5" t="inlineStr">
        <is>
          <t>Blended power cost (p/kWh)</t>
        </is>
      </c>
      <c r="B5" s="22">
        <f>'Monthly Energy'!$D$19</f>
        <v/>
      </c>
      <c r="C5" s="8" t="inlineStr">
        <is>
          <t>vs 25p naive grid / ~19p smart all-grid</t>
        </is>
      </c>
    </row>
    <row r="6">
      <c r="A6" t="inlineStr">
        <is>
          <t>Annual power bill £</t>
        </is>
      </c>
      <c r="B6" s="23">
        <f>'Monthly Energy'!$N$17</f>
        <v/>
      </c>
    </row>
    <row r="8">
      <c r="A8" s="4" t="inlineStr">
        <is>
          <t>COMPUTE LAYER (3-yr chips)</t>
        </is>
      </c>
    </row>
    <row r="9">
      <c r="A9" t="inlineStr">
        <is>
          <t>Compute capex £ (load × £/MW)</t>
        </is>
      </c>
      <c r="B9" s="24">
        <f>Assumptions!B6*Assumptions!B21</f>
        <v/>
      </c>
    </row>
    <row r="10">
      <c r="A10" t="inlineStr">
        <is>
          <t>Revenue £/yr (contracted)</t>
        </is>
      </c>
      <c r="B10" s="24">
        <f>B4*Assumptions!B22</f>
        <v/>
      </c>
    </row>
    <row r="11">
      <c r="A11" t="inlineStr">
        <is>
          <t>− Power bill</t>
        </is>
      </c>
      <c r="B11" s="23">
        <f>-B6</f>
        <v/>
      </c>
    </row>
    <row r="12">
      <c r="A12" t="inlineStr">
        <is>
          <t>− Maintenance</t>
        </is>
      </c>
      <c r="B12" s="23">
        <f>-B9*Assumptions!B23</f>
        <v/>
      </c>
    </row>
    <row r="13">
      <c r="A13" t="inlineStr">
        <is>
          <t>− Other opex</t>
        </is>
      </c>
      <c r="B13" s="23">
        <f>-Assumptions!B6*Assumptions!B24</f>
        <v/>
      </c>
    </row>
    <row r="14">
      <c r="A14" t="inlineStr">
        <is>
          <t>NET £/yr</t>
        </is>
      </c>
      <c r="B14" s="24">
        <f>B10+B11+B12+B13</f>
        <v/>
      </c>
    </row>
    <row r="15">
      <c r="A15" t="inlineStr">
        <is>
          <t>Compute PAYBACK (months)</t>
        </is>
      </c>
      <c r="B15" s="22">
        <f>IF(B14&gt;0,B9/B14*12,"loss")</f>
        <v/>
      </c>
    </row>
    <row r="16">
      <c r="A16" t="inlineStr">
        <is>
          <t>Chip economic life (months)</t>
        </is>
      </c>
      <c r="B16" s="25">
        <f>Assumptions!B25*12</f>
        <v/>
      </c>
    </row>
    <row r="17">
      <c r="A17" t="inlineStr">
        <is>
          <t>Verdict vs chip life</t>
        </is>
      </c>
      <c r="B17" s="26">
        <f>IF(B15&lt;Assumptions!B25*12*0.8,"OK — profit window",IF(B15&lt;Assumptions!B25*12,"TIGHT","FAILS — chip dies first"))</f>
        <v/>
      </c>
    </row>
    <row r="19">
      <c r="A19" s="4" t="inlineStr">
        <is>
          <t>ENERGY INFRASTRUCTURE LAYER (25-yr durable asset)</t>
        </is>
      </c>
    </row>
    <row r="20">
      <c r="A20" t="inlineStr">
        <is>
          <t>Solar capex £</t>
        </is>
      </c>
      <c r="B20" s="23">
        <f>Assumptions!B7*Assumptions!B28</f>
        <v/>
      </c>
    </row>
    <row r="21">
      <c r="A21" t="inlineStr">
        <is>
          <t>Battery capex £</t>
        </is>
      </c>
      <c r="B21" s="23">
        <f>Assumptions!B8*Assumptions!B29</f>
        <v/>
      </c>
    </row>
    <row r="22">
      <c r="A22" t="inlineStr">
        <is>
          <t>Grid connection capex £</t>
        </is>
      </c>
      <c r="B22" s="23">
        <f>Assumptions!B30</f>
        <v/>
      </c>
    </row>
    <row r="23">
      <c r="A23" t="inlineStr">
        <is>
          <t>Energy infra capex £ (total)</t>
        </is>
      </c>
      <c r="B23" s="24">
        <f>B20+B21+B22</f>
        <v/>
      </c>
    </row>
    <row r="24">
      <c r="A24" t="inlineStr">
        <is>
          <t>Power saving vs 19p smart-grid £/yr</t>
        </is>
      </c>
      <c r="B24" s="23">
        <f>(19-B5)*B4*10</f>
        <v/>
      </c>
    </row>
    <row r="25">
      <c r="A25" t="inlineStr">
        <is>
          <t>Energy infra payback (yrs) — 25-yr life</t>
        </is>
      </c>
      <c r="B25" s="22">
        <f>IF(B24&gt;0,B23/B24,"none")</f>
        <v/>
      </c>
    </row>
    <row r="27">
      <c r="A27" s="4" t="inlineStr">
        <is>
          <t>WHOLE SITE</t>
        </is>
      </c>
    </row>
    <row r="28">
      <c r="A28" t="inlineStr">
        <is>
          <t>Total capex £ (compute + energy)</t>
        </is>
      </c>
      <c r="B28" s="24">
        <f>B9+B23</f>
        <v/>
      </c>
    </row>
    <row r="29">
      <c r="A29" t="inlineStr">
        <is>
          <t>Net £/yr (after power, before energy-infra amort)</t>
        </is>
      </c>
      <c r="B29" s="23">
        <f>B14</f>
        <v/>
      </c>
    </row>
    <row r="31">
      <c r="A31" s="27" t="inlineStr">
        <is>
          <t>THE CATCH: revenue assumes you have SOLD all this compute at contracted rates (~90% util). You do NOT have that demand yet — it is the single biggest assumption. At SPOT/typical rates (~55% util, lower £/MWh) the revenue roughly HALVES and payback blows past chip life.</t>
        </is>
      </c>
    </row>
    <row r="32"/>
    <row r="33"/>
  </sheetData>
  <mergeCells count="1">
    <mergeCell ref="A31:C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How much solar to pair with the 4MW connection? (battery 8MWh, 90% util)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More solar → cheaper power, but past ~2× the load you curtail (waste) summer surplus without a bigger battery or export. Static snapshot; the live model is on 'Monthly Energy'.</t>
        </is>
      </c>
    </row>
    <row r="4" ht="30" customHeight="1">
      <c r="A4" s="11" t="inlineStr">
        <is>
          <t>Solar (MWp)</t>
        </is>
      </c>
      <c r="B4" s="11" t="inlineStr">
        <is>
          <t>Blended p/kWh</t>
        </is>
      </c>
      <c r="C4" s="11" t="inlineStr">
        <is>
          <t>Curtailed %</t>
        </is>
      </c>
      <c r="D4" s="11" t="inlineStr">
        <is>
          <t>Save vs 25p grid £/yr</t>
        </is>
      </c>
      <c r="E4" s="11" t="inlineStr">
        <is>
          <t>Save vs 19p grid £/yr</t>
        </is>
      </c>
      <c r="F4" s="11" t="inlineStr">
        <is>
          <t>Solar:load ratio</t>
        </is>
      </c>
    </row>
    <row r="5">
      <c r="A5" s="12" t="n">
        <v>0</v>
      </c>
      <c r="B5" s="28" t="n">
        <v>19</v>
      </c>
      <c r="C5" s="29" t="n">
        <v>0</v>
      </c>
      <c r="D5" s="14" t="n">
        <v>1892160</v>
      </c>
      <c r="E5" s="14" t="n">
        <v>0</v>
      </c>
      <c r="F5" s="12" t="inlineStr">
        <is>
          <t>0.0×</t>
        </is>
      </c>
    </row>
    <row r="6">
      <c r="A6" s="12" t="n">
        <v>4</v>
      </c>
      <c r="B6" s="28" t="n">
        <v>16.5</v>
      </c>
      <c r="C6" s="29" t="n">
        <v>0</v>
      </c>
      <c r="D6" s="14" t="n">
        <v>2679198</v>
      </c>
      <c r="E6" s="14" t="n">
        <v>787038</v>
      </c>
      <c r="F6" s="12" t="inlineStr">
        <is>
          <t>1.0×</t>
        </is>
      </c>
    </row>
    <row r="7">
      <c r="A7" s="12" t="n">
        <v>8</v>
      </c>
      <c r="B7" s="28" t="n">
        <v>14</v>
      </c>
      <c r="C7" s="29" t="n">
        <v>0</v>
      </c>
      <c r="D7" s="14" t="n">
        <v>3466236</v>
      </c>
      <c r="E7" s="14" t="n">
        <v>1574076</v>
      </c>
      <c r="F7" s="12" t="inlineStr">
        <is>
          <t>2.0×</t>
        </is>
      </c>
    </row>
    <row r="8">
      <c r="A8" s="12" t="n">
        <v>12</v>
      </c>
      <c r="B8" s="28" t="n">
        <v>12.1</v>
      </c>
      <c r="C8" s="29" t="n">
        <v>0.0139779781916502</v>
      </c>
      <c r="D8" s="14" t="n">
        <v>4080234</v>
      </c>
      <c r="E8" s="14" t="n">
        <v>2188074</v>
      </c>
      <c r="F8" s="12" t="inlineStr">
        <is>
          <t>3.0×</t>
        </is>
      </c>
    </row>
    <row r="9">
      <c r="A9" s="12" t="n">
        <v>16</v>
      </c>
      <c r="B9" s="28" t="n">
        <v>11.2</v>
      </c>
      <c r="C9" s="29" t="n">
        <v>0.1449490367682373</v>
      </c>
      <c r="D9" s="14" t="n">
        <v>4360479</v>
      </c>
      <c r="E9" s="14" t="n">
        <v>2468319</v>
      </c>
      <c r="F9" s="12" t="inlineStr">
        <is>
          <t>4.0×</t>
        </is>
      </c>
    </row>
    <row r="10">
      <c r="A10" s="12" t="n">
        <v>20</v>
      </c>
      <c r="B10" s="28" t="n">
        <v>10.6</v>
      </c>
      <c r="C10" s="29" t="n">
        <v>0.2577832328299268</v>
      </c>
      <c r="D10" s="14" t="n">
        <v>4541383</v>
      </c>
      <c r="E10" s="14" t="n">
        <v>2649223</v>
      </c>
      <c r="F10" s="12" t="inlineStr">
        <is>
          <t>5.0×</t>
        </is>
      </c>
    </row>
    <row r="12" ht="40" customHeight="1">
      <c r="A12" s="30" t="inlineStr">
        <is>
          <t>SWEET SPOT: ~6–10 MWp (1.5–2.5× the load) self-consumes nearly all generation with a modest battery. Beyond that you need either a much bigger (expensive) battery or an export connection to avoid wasting summer sun.</t>
        </is>
      </c>
    </row>
    <row r="14" ht="40" customHeight="1">
      <c r="A14" s="31" t="inlineStr">
        <is>
          <t>KEY INSIGHT: if you already have CHEAP NIGHT GRID (~13p), a big battery is hard to justify — the grid is a cheaper 'battery' than a battery. The physical battery earns its keep mainly by capturing summer solar surplus and shaving peak-day grid. Size it small.</t>
        </is>
      </c>
    </row>
  </sheetData>
  <mergeCells count="3">
    <mergeCell ref="A2:F2"/>
    <mergeCell ref="A14:F14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Notes &amp; Sources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32" t="inlineStr">
        <is>
          <t>CHIP LIFE — the binding constraint</t>
        </is>
      </c>
    </row>
    <row r="4">
      <c r="A4" t="inlineStr">
        <is>
          <t>GPU rental rate collapses ~80–95% over 5–6 yrs</t>
        </is>
      </c>
      <c r="B4" t="inlineStr">
        <is>
          <t>V100 (2017) now $0.02/hr; 2080 Ti (2018) $0.11/hr — economic life ~3 yr</t>
        </is>
      </c>
    </row>
    <row r="5">
      <c r="A5" t="inlineStr">
        <is>
          <t>→ compute must pay back inside ~3 yr</t>
        </is>
      </c>
      <c r="B5" t="inlineStr">
        <is>
          <t>Energy infra (solar/battery/grid) is the 25-yr durable asset; chips are a rolling 3-yr consumable</t>
        </is>
      </c>
    </row>
    <row r="6">
      <c r="A6" s="32" t="inlineStr">
        <is>
          <t>BATTERY — which and why</t>
        </is>
      </c>
    </row>
    <row r="7">
      <c r="A7" t="inlineStr">
        <is>
          <t>LFP (lithium iron phosphate) is the right chemistry</t>
        </is>
      </c>
      <c r="B7" t="inlineStr">
        <is>
          <t>Cheapest, safest, ~6,000-cycle life for daily solar-shift. £200–350/kWh installed (UK 2026)</t>
        </is>
      </c>
    </row>
    <row r="8">
      <c r="A8" t="inlineStr">
        <is>
          <t>Size it SMALL with a grid connection</t>
        </is>
      </c>
      <c r="B8" t="inlineStr">
        <is>
          <t>Cheap night grid (~13p) is a cheaper 'store' than a battery (~9p delivered BUT huge capex). Battery's job: capture summer surplus + shave peak day</t>
        </is>
      </c>
    </row>
    <row r="9">
      <c r="A9" s="32" t="inlineStr">
        <is>
          <t>SOLAR</t>
        </is>
      </c>
    </row>
    <row r="10">
      <c r="A10" t="inlineStr">
        <is>
          <t>UK ground-mount LCOE ~£30–50/MWh (3–5p)</t>
        </is>
      </c>
      <c r="B10" t="inlineStr">
        <is>
          <t>~937 kWh/kWp/yr; 10–11% capacity factor; summer ~8× winter output</t>
        </is>
      </c>
    </row>
    <row r="11">
      <c r="A11" t="inlineStr">
        <is>
          <t>Pair ~1.5–2.5× the load</t>
        </is>
      </c>
      <c r="B11" t="inlineStr">
        <is>
          <t>Beyond that, curtailment without bigger battery or export</t>
        </is>
      </c>
    </row>
    <row r="12">
      <c r="A12" s="32" t="inlineStr">
        <is>
          <t>THE MODEL'S LOAD-BEARING ASSUMPTION</t>
        </is>
      </c>
    </row>
    <row r="13">
      <c r="A13" t="inlineStr">
        <is>
          <t>Revenue assumes CONTRACTED demand at ~90% util</t>
        </is>
      </c>
      <c r="B13" t="inlineStr">
        <is>
          <t>You do NOT have this. Spot/typical demand ≈ half the revenue and breaks the payback. This is the bet, not the power.</t>
        </is>
      </c>
    </row>
    <row r="14">
      <c r="A14" t="inlineStr">
        <is>
          <t>Grid IMPORT connection is the unlock</t>
        </is>
      </c>
      <c r="B14" t="inlineStr">
        <is>
          <t>A small import connection (for winter/nights) is far easier to get than a big EXPORT connection — that is the real edge for queue-blocked solar</t>
        </is>
      </c>
    </row>
    <row r="15">
      <c r="A15" s="32" t="inlineStr">
        <is>
          <t>SOURCES</t>
        </is>
      </c>
    </row>
    <row r="16">
      <c r="A16" t="inlineStr">
        <is>
          <t>UK solar irradiance / PSH by month</t>
        </is>
      </c>
      <c r="B16" s="33" t="inlineStr">
        <is>
          <t>https://re.jrc.ec.europa.eu/pvg_tools/en/</t>
        </is>
      </c>
    </row>
    <row r="17">
      <c r="A17" t="inlineStr">
        <is>
          <t>UK grid connection queue / curtailment</t>
        </is>
      </c>
      <c r="B17" s="33" t="inlineStr">
        <is>
          <t>https://www.nationalgrideso.com/industry-information/connections</t>
        </is>
      </c>
    </row>
    <row r="18">
      <c r="A18" t="inlineStr">
        <is>
          <t>LFP grid battery costs 2026</t>
        </is>
      </c>
      <c r="B18" s="33" t="inlineStr">
        <is>
          <t>https://www.nrel.gov/analysis/tech-cost-analysis.html</t>
        </is>
      </c>
    </row>
    <row r="19">
      <c r="A19" t="inlineStr">
        <is>
          <t>Vast.ai per-GPU rates (V100/2080Ti collapse)</t>
        </is>
      </c>
      <c r="B19" s="33" t="inlineStr">
        <is>
          <t>https://vast.ai/pricing/gpu/TESLA-V100</t>
        </is>
      </c>
    </row>
  </sheetData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2026-06-07T19:54:52Z</dcterms:created>
  <dcterms:modified xmlns:dcterms="http://purl.org/dc/terms/" xmlns:xsi="http://www.w3.org/2001/XMLSchema-instance" xsi:type="dcterms:W3CDTF">2026-06-07T19:54:52Z</dcterms:modified>
</cp:coreProperties>
</file>