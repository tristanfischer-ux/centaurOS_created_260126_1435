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apital Cost (BoM)" sheetId="2" state="visible" r:id="rId2"/>
    <sheet xmlns:r="http://schemas.openxmlformats.org/officeDocument/2006/relationships" name="Revenue vs GPU" sheetId="3" state="visible" r:id="rId3"/>
    <sheet xmlns:r="http://schemas.openxmlformats.org/officeDocument/2006/relationships" name="Unit Economics" sheetId="4" state="visible" r:id="rId4"/>
    <sheet xmlns:r="http://schemas.openxmlformats.org/officeDocument/2006/relationships" name="Pool Model" sheetId="5" state="visible" r:id="rId5"/>
    <sheet xmlns:r="http://schemas.openxmlformats.org/officeDocument/2006/relationships" name="Utilisation Sensitivity" sheetId="6" state="visible" r:id="rId6"/>
    <sheet xmlns:r="http://schemas.openxmlformats.org/officeDocument/2006/relationships" name="Fleet Build" sheetId="7" state="visible" r:id="rId7"/>
    <sheet xmlns:r="http://schemas.openxmlformats.org/officeDocument/2006/relationships" name="Sources &amp; 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£#,##0"/>
    <numFmt numFmtId="166" formatCode="£#,##0.00"/>
    <numFmt numFmtId="167" formatCode="0.000"/>
  </numFmts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1F4E79"/>
      <sz val="11"/>
    </font>
    <font>
      <b val="1"/>
      <color rgb="00FFFFFF"/>
    </font>
    <font>
      <b val="1"/>
    </font>
    <font>
      <color rgb="000563C1"/>
      <sz val="9"/>
      <u val="single"/>
    </font>
    <font>
      <b val="1"/>
      <color rgb="001F4E79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9" fontId="0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165" fontId="0" fillId="3" borderId="1" pivotButton="0" quotePrefix="0" xfId="0"/>
    <xf numFmtId="3" fontId="0" fillId="3" borderId="1" pivotButton="0" quotePrefix="0" xfId="0"/>
    <xf numFmtId="0" fontId="0" fillId="3" borderId="1" pivotButton="0" quotePrefix="0" xfId="0"/>
    <xf numFmtId="166" fontId="0" fillId="3" borderId="1" pivotButton="0" quotePrefix="0" xfId="0"/>
    <xf numFmtId="0" fontId="4" fillId="4" borderId="1" applyAlignment="1" pivotButton="0" quotePrefix="0" xfId="0">
      <alignment vertical="top" wrapText="1"/>
    </xf>
    <xf numFmtId="0" fontId="0" fillId="0" borderId="1" pivotButton="0" quotePrefix="0" xfId="0"/>
    <xf numFmtId="165" fontId="0" fillId="0" borderId="1" pivotButton="0" quotePrefix="0" xfId="0"/>
    <xf numFmtId="167" fontId="0" fillId="0" borderId="1" pivotButton="0" quotePrefix="0" xfId="0"/>
    <xf numFmtId="165" fontId="5" fillId="5" borderId="0" pivotButton="0" quotePrefix="0" xfId="0"/>
    <xf numFmtId="9" fontId="5" fillId="5" borderId="0" pivotButton="0" quotePrefix="0" xfId="0"/>
    <xf numFmtId="164" fontId="0" fillId="0" borderId="1" pivotButton="0" quotePrefix="0" xfId="0"/>
    <xf numFmtId="2" fontId="0" fillId="0" borderId="1" pivotButton="0" quotePrefix="0" xfId="0"/>
    <xf numFmtId="0" fontId="2" fillId="0" borderId="1" pivotButton="0" quotePrefix="0" xfId="0"/>
    <xf numFmtId="0" fontId="6" fillId="0" borderId="1" pivotButton="0" quotePrefix="0" xfId="0"/>
    <xf numFmtId="0" fontId="2" fillId="0" borderId="0" applyAlignment="1" pivotButton="0" quotePrefix="0" xfId="0">
      <alignment wrapText="1"/>
    </xf>
    <xf numFmtId="0" fontId="4" fillId="4" borderId="1" pivotButton="0" quotePrefix="0" xfId="0"/>
    <xf numFmtId="0" fontId="7" fillId="6" borderId="0" pivotButton="0" quotePrefix="0" xfId="0"/>
    <xf numFmtId="0" fontId="0" fillId="6" borderId="0" pivotButton="0" quotePrefix="0" xfId="0"/>
    <xf numFmtId="165" fontId="0" fillId="5" borderId="1" pivotButton="0" quotePrefix="0" xfId="0"/>
    <xf numFmtId="3" fontId="0" fillId="0" borderId="1" pivotButton="0" quotePrefix="0" xfId="0"/>
    <xf numFmtId="0" fontId="5" fillId="0" borderId="0" pivotButton="0" quotePrefix="0" xfId="0"/>
    <xf numFmtId="165" fontId="8" fillId="5" borderId="0" pivotButton="0" quotePrefix="0" xfId="0"/>
    <xf numFmtId="9" fontId="0" fillId="0" borderId="1" pivotButton="0" quotePrefix="0" xfId="0"/>
    <xf numFmtId="165" fontId="5" fillId="0" borderId="1" pivotButton="0" quotePrefix="0" xfId="0"/>
    <xf numFmtId="3" fontId="0" fillId="0" borderId="0" pivotButton="0" quotePrefix="0" xfId="0"/>
    <xf numFmtId="2" fontId="0" fillId="0" borderId="0" pivotButton="0" quotePrefix="0" xfId="0"/>
    <xf numFmtId="167" fontId="5" fillId="5" borderId="0" pivotButton="0" quotePrefix="0" xfId="0"/>
    <xf numFmtId="165" fontId="0" fillId="0" borderId="0" pivotButton="0" quotePrefix="0" xfId="0"/>
    <xf numFmtId="164" fontId="5" fillId="5" borderId="0" pivotButton="0" quotePrefix="0" xfId="0"/>
    <xf numFmtId="3" fontId="5" fillId="5" borderId="0" pivotButton="0" quotePrefix="0" xfId="0"/>
    <xf numFmtId="164" fontId="0" fillId="0" borderId="0" pivotButton="0" quotePrefix="0" xfId="0"/>
    <xf numFmtId="0" fontId="4" fillId="4" borderId="0" pivotButton="0" quotePrefix="0" xfId="0"/>
    <xf numFmtId="9" fontId="4" fillId="4" borderId="1" pivotButton="0" quotePrefix="0" xfId="0"/>
    <xf numFmtId="165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pused.co.uk/" TargetMode="External" Id="rId1"/><Relationship Type="http://schemas.openxmlformats.org/officeDocument/2006/relationships/hyperlink" Target="https://vast.ai/pricing/gpu/A100-SXM4" TargetMode="External" Id="rId2"/><Relationship Type="http://schemas.openxmlformats.org/officeDocument/2006/relationships/hyperlink" Target="https://www.gpused.co.uk/" TargetMode="External" Id="rId3"/><Relationship Type="http://schemas.openxmlformats.org/officeDocument/2006/relationships/hyperlink" Target="https://vast.ai/pricing/gpu/A100-PCIE" TargetMode="External" Id="rId4"/><Relationship Type="http://schemas.openxmlformats.org/officeDocument/2006/relationships/hyperlink" Target="https://bestvaluegpu.com/en-gb/" TargetMode="External" Id="rId5"/><Relationship Type="http://schemas.openxmlformats.org/officeDocument/2006/relationships/hyperlink" Target="https://vast.ai/pricing/gpu/RTX-5090" TargetMode="External" Id="rId6"/><Relationship Type="http://schemas.openxmlformats.org/officeDocument/2006/relationships/hyperlink" Target="https://bestvaluegpu.com/en-gb/" TargetMode="External" Id="rId7"/><Relationship Type="http://schemas.openxmlformats.org/officeDocument/2006/relationships/hyperlink" Target="https://vast.ai/pricing/gpu/RTX-4090" TargetMode="External" Id="rId8"/><Relationship Type="http://schemas.openxmlformats.org/officeDocument/2006/relationships/hyperlink" Target="https://www.ballicom.co.uk/" TargetMode="External" Id="rId9"/><Relationship Type="http://schemas.openxmlformats.org/officeDocument/2006/relationships/hyperlink" Target="https://computeprices.com/providers/vast" TargetMode="External" Id="rId10"/><Relationship Type="http://schemas.openxmlformats.org/officeDocument/2006/relationships/hyperlink" Target="https://www.ballicom.co.uk/" TargetMode="External" Id="rId11"/><Relationship Type="http://schemas.openxmlformats.org/officeDocument/2006/relationships/hyperlink" Target="https://vast.ai/pricing/gpu/H100-PCIE" TargetMode="External" Id="rId12"/><Relationship Type="http://schemas.openxmlformats.org/officeDocument/2006/relationships/hyperlink" Target="https://bestvaluegpu.com/en-gb/" TargetMode="External" Id="rId13"/><Relationship Type="http://schemas.openxmlformats.org/officeDocument/2006/relationships/hyperlink" Target="https://vast.ai/pricing/gpu/RTX-3090" TargetMode="External" Id="rId14"/><Relationship Type="http://schemas.openxmlformats.org/officeDocument/2006/relationships/hyperlink" Target="https://www.gpused.co.uk/" TargetMode="External" Id="rId15"/><Relationship Type="http://schemas.openxmlformats.org/officeDocument/2006/relationships/hyperlink" Target="https://vast.ai/pricing/gpu/RTX-A6000" TargetMode="External" Id="rId16"/><Relationship Type="http://schemas.openxmlformats.org/officeDocument/2006/relationships/hyperlink" Target="https://intelligentservers.co.uk/" TargetMode="External" Id="rId17"/><Relationship Type="http://schemas.openxmlformats.org/officeDocument/2006/relationships/hyperlink" Target="https://vast.ai/pricing/gpu/A10" TargetMode="External" Id="rId18"/><Relationship Type="http://schemas.openxmlformats.org/officeDocument/2006/relationships/hyperlink" Target="https://www.idealo.co.uk/" TargetMode="External" Id="rId19"/><Relationship Type="http://schemas.openxmlformats.org/officeDocument/2006/relationships/hyperlink" Target="https://vast.ai/pricing/gpu/RTX-A5000" TargetMode="External" Id="rId20"/><Relationship Type="http://schemas.openxmlformats.org/officeDocument/2006/relationships/hyperlink" Target="https://www.ballicom.co.uk/" TargetMode="External" Id="rId21"/><Relationship Type="http://schemas.openxmlformats.org/officeDocument/2006/relationships/hyperlink" Target="https://vast.ai/pricing/gpu/L40S" TargetMode="External" Id="rId22"/><Relationship Type="http://schemas.openxmlformats.org/officeDocument/2006/relationships/hyperlink" Target="https://www.scan.co.uk/" TargetMode="External" Id="rId23"/><Relationship Type="http://schemas.openxmlformats.org/officeDocument/2006/relationships/hyperlink" Target="https://vast.ai/pricing/gpu/A40" TargetMode="External" Id="rId24"/></Relationships>
</file>

<file path=xl/worksheets/_rels/sheet2.xml.rels><Relationships xmlns="http://schemas.openxmlformats.org/package/2006/relationships"><Relationship Type="http://schemas.openxmlformats.org/officeDocument/2006/relationships/hyperlink" Target="https://bestvaluegpu.com/en-gb/" TargetMode="External" Id="rId1"/><Relationship Type="http://schemas.openxmlformats.org/officeDocument/2006/relationships/hyperlink" Target="https://www.amazon.co.uk/pcie-riser-cable-x16/s?k=pcie+riser+cable+x16" TargetMode="External" Id="rId2"/><Relationship Type="http://schemas.openxmlformats.org/officeDocument/2006/relationships/hyperlink" Target="https://www.scan.co.uk/products/4u-ipc-4w2-mining-ai-case-supports-upto-8x-graphics-cards-6x-120mm-fans-2x-usb-20-black" TargetMode="External" Id="rId3"/><Relationship Type="http://schemas.openxmlformats.org/officeDocument/2006/relationships/hyperlink" Target="https://www.scan.co.uk/products/1600w-be-quiet!-dark-power-pro-13-pcie-5-fully-modular-80plus-titanium-hex-rail-1333a-135mm-fan-atx3" TargetMode="External" Id="rId4"/><Relationship Type="http://schemas.openxmlformats.org/officeDocument/2006/relationships/hyperlink" Target="https://www.idealo.co.uk/compare/202120265/asus-tuf-gaming-x670e-plus-wifi.html" TargetMode="External" Id="rId5"/><Relationship Type="http://schemas.openxmlformats.org/officeDocument/2006/relationships/hyperlink" Target="https://www.idealo.co.uk/compare/202115045/amd-ryzen-9-7900x.html" TargetMode="External" Id="rId6"/><Relationship Type="http://schemas.openxmlformats.org/officeDocument/2006/relationships/hyperlink" Target="https://www.amazon.co.uk/Kingston-6000MT-Desktop-Gaming-Memory/dp/B0CYHC58P6" TargetMode="External" Id="rId7"/><Relationship Type="http://schemas.openxmlformats.org/officeDocument/2006/relationships/hyperlink" Target="https://pricespy.co.uk/product.php?p=7012734" TargetMode="External" Id="rId8"/><Relationship Type="http://schemas.openxmlformats.org/officeDocument/2006/relationships/hyperlink" Target="https://www.amazon.co.uk/NICGIGA-Network-Adapter-RTL8125B-Ethernet/dp/B09HGRK5XB" TargetMode="External" Id="rId9"/><Relationship Type="http://schemas.openxmlformats.org/officeDocument/2006/relationships/hyperlink" Target="https://www.idealo.co.uk/compare/203479148/raspberry-pi-5.html" TargetMode="External" Id="rId10"/><Relationship Type="http://schemas.openxmlformats.org/officeDocument/2006/relationships/hyperlink" Target="https://www.ekwb.com/shop/ek-quantum-vector-rtx-3080-3090-d-rgb-nickel-acetal" TargetMode="External" Id="rId11"/><Relationship Type="http://schemas.openxmlformats.org/officeDocument/2006/relationships/hyperlink" Target="https://www.ebay.co.uk/itm/126322272027" TargetMode="External" Id="rId12"/><Relationship Type="http://schemas.openxmlformats.org/officeDocument/2006/relationships/hyperlink" Target="https://www.watercoolinguk.co.uk/p/Aquacomputer-D5-pump-mechnics-with-USB--and-aquabus-interface_30226.html" TargetMode="External" Id="rId13"/><Relationship Type="http://schemas.openxmlformats.org/officeDocument/2006/relationships/hyperlink" Target="https://www.amazon.co.uk/propylene-glycol-5l/s?k=propylene+glycol+5l" TargetMode="External" Id="rId14"/><Relationship Type="http://schemas.openxmlformats.org/officeDocument/2006/relationships/hyperlink" Target="https://tewltd.co.uk/product/pjw-mid-approved-100a-din-rail-single-phase-kwh-meter-dr2100-2mod/" TargetMode="External" Id="rId15"/><Relationship Type="http://schemas.openxmlformats.org/officeDocument/2006/relationships/hyperlink" Target="https://www.owelectric.co.uk/posts/maximum-loads-assumed-per-circuit-bs7671-regulation/" TargetMode="External" Id="rId16"/><Relationship Type="http://schemas.openxmlformats.org/officeDocument/2006/relationships/hyperlink" Target="https://www.spata.co.uk/" TargetMode="External" Id="rId17"/></Relationships>
</file>

<file path=xl/worksheets/_rels/sheet5.xml.rels><Relationships xmlns="http://schemas.openxmlformats.org/package/2006/relationships"><Relationship Type="http://schemas.openxmlformats.org/officeDocument/2006/relationships/hyperlink" Target="https://www.spata.co.uk/" TargetMode="External" Id="rId1"/><Relationship Type="http://schemas.openxmlformats.org/officeDocument/2006/relationships/hyperlink" Target="https://www.datacenterdynamics.com/en/news/uk-data-center-startup-offers-to-heat-britains-swimming-pools-with-waste-heat/" TargetMode="External" Id="rId2"/><Relationship Type="http://schemas.openxmlformats.org/officeDocument/2006/relationships/hyperlink" Target="https://www.originpools.co.uk/pools/indoor-pools/advice/cost-guides/how-much-does-it-cost-to-run-an-indoor-pool" TargetMode="External" Id="rId3"/><Relationship Type="http://schemas.openxmlformats.org/officeDocument/2006/relationships/hyperlink" Target="https://poolstore.co.uk/content/how-much-does-it-cost-to-heat-a-swimming-pool" TargetMode="External" Id="rId4"/><Relationship Type="http://schemas.openxmlformats.org/officeDocument/2006/relationships/hyperlink" Target="https://heatpumps4pools.com/frequently-asked-questions-for-swimming-pool-heat-pumps/" TargetMode="External" Id="rId5"/></Relationships>
</file>

<file path=xl/worksheets/_rels/sheet8.xml.rels><Relationships xmlns="http://schemas.openxmlformats.org/package/2006/relationships"><Relationship Type="http://schemas.openxmlformats.org/officeDocument/2006/relationships/hyperlink" Target="https://vast.ai/article/june-2024-product-update" TargetMode="External" Id="rId1"/><Relationship Type="http://schemas.openxmlformats.org/officeDocument/2006/relationships/hyperlink" Target="https://vast.ai/article/how-much-money-can-you-earn-renting-out-your-gpu-on-vast-ai" TargetMode="External" Id="rId2"/><Relationship Type="http://schemas.openxmlformats.org/officeDocument/2006/relationships/hyperlink" Target="https://vast.ai/pricing/gpu/RTX-4090" TargetMode="External" Id="rId3"/><Relationship Type="http://schemas.openxmlformats.org/officeDocument/2006/relationships/hyperlink" Target="https://computeprices.com/providers/vast" TargetMode="External" Id="rId4"/><Relationship Type="http://schemas.openxmlformats.org/officeDocument/2006/relationships/hyperlink" Target="https://bestvaluegpu.com/en-gb/" TargetMode="External" Id="rId5"/><Relationship Type="http://schemas.openxmlformats.org/officeDocument/2006/relationships/hyperlink" Target="https://www.localscore.ai/model/1" TargetMode="External" Id="rId6"/><Relationship Type="http://schemas.openxmlformats.org/officeDocument/2006/relationships/hyperlink" Target="https://openrouter.ai/announcements/simplifying-our-platform-fee" TargetMode="External" Id="rId7"/><Relationship Type="http://schemas.openxmlformats.org/officeDocument/2006/relationships/hyperlink" Target="https://www.ofgem.gov.uk/information-consumers/energy-advice-households/energy-price-cap-unit-rates-and-standing-charges" TargetMode="External" Id="rId8"/><Relationship Type="http://schemas.openxmlformats.org/officeDocument/2006/relationships/hyperlink" Target="https://agileprices.co.uk/" TargetMode="External" Id="rId9"/><Relationship Type="http://schemas.openxmlformats.org/officeDocument/2006/relationships/hyperlink" Target="https://www.heata.co/hosts/sign-up" TargetMode="External" Id="rId10"/><Relationship Type="http://schemas.openxmlformats.org/officeDocument/2006/relationships/hyperlink" Target="https://tewltd.co.uk/product/pjw-mid-approved-100a-din-rail-single-phase-kwh-meter-dr2100-2mod/" TargetMode="External" Id="rId11"/><Relationship Type="http://schemas.openxmlformats.org/officeDocument/2006/relationships/hyperlink" Target="https://www.scan.co.uk/" TargetMode="External" Id="rId12"/><Relationship Type="http://schemas.openxmlformats.org/officeDocument/2006/relationships/hyperlink" Target="https://www.ekwb.com/shop/ek-quantum-vector-rtx-3080-3090-d-rgb-nickel-acetal" TargetMode="External" Id="rId13"/><Relationship Type="http://schemas.openxmlformats.org/officeDocument/2006/relationships/hyperlink" Target="https://www.heat-exchangers.uk/pricelist/" TargetMode="External" Id="rId14"/><Relationship Type="http://schemas.openxmlformats.org/officeDocument/2006/relationships/hyperlink" Target="https://www.watercoolinguk.co.uk/" TargetMode="External" Id="rId15"/><Relationship Type="http://schemas.openxmlformats.org/officeDocument/2006/relationships/hyperlink" Target="https://www.originpools.co.uk/pools/indoor-pools/advice/cost-guides/how-much-does-it-cost-to-run-an-indoor-pool" TargetMode="External" Id="rId16"/><Relationship Type="http://schemas.openxmlformats.org/officeDocument/2006/relationships/hyperlink" Target="https://heatpumps4pools.com/frequently-asked-questions-for-swimming-pool-heat-pumps/" TargetMode="External" Id="rId17"/><Relationship Type="http://schemas.openxmlformats.org/officeDocument/2006/relationships/hyperlink" Target="https://www.spata.co.uk/" TargetMode="External" Id="rId18"/><Relationship Type="http://schemas.openxmlformats.org/officeDocument/2006/relationships/hyperlink" Target="https://www.datacenterdynamics.com/en/news/uk-data-center-startup-offers-to-heat-britains-swimming-pools-with-waste-heat/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7" customWidth="1" min="3" max="3"/>
    <col width="11" customWidth="1" min="4" max="4"/>
    <col width="7" customWidth="1" min="5" max="5"/>
    <col width="7" customWidth="1" min="6" max="6"/>
    <col width="10" customWidth="1" min="7" max="7"/>
    <col width="10" customWidth="1" min="8" max="8"/>
    <col width="9" customWidth="1" min="9" max="9"/>
    <col width="10" customWidth="1" min="10" max="10"/>
    <col width="9" customWidth="1" min="11" max="11"/>
    <col width="11" customWidth="1" min="12" max="12"/>
    <col width="20" customWidth="1" min="13" max="13"/>
    <col width="8" customWidth="1" min="14" max="14"/>
    <col width="8" customWidth="1" min="15" max="15"/>
  </cols>
  <sheetData>
    <row r="1">
      <c r="A1" s="1" t="inlineStr">
        <is>
          <t>Compute-Heat Brick — Indoor Private Pool Model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Edit the YELLOW cells. Everything recalculates. All GBP, June 2026. GREEN = computed.</t>
        </is>
      </c>
    </row>
    <row r="4">
      <c r="A4" s="4" t="inlineStr">
        <is>
          <t>OPERATING ASSUMPTIONS</t>
        </is>
      </c>
    </row>
    <row r="5">
      <c r="A5" t="inlineStr">
        <is>
          <t>Occupancy / utilisation (fraction of time earning)</t>
        </is>
      </c>
      <c r="B5" s="5" t="n">
        <v>0.55</v>
      </c>
      <c r="C5" s="3" t="inlineStr">
        <is>
          <t>THE make-or-break number — measure it with one box</t>
        </is>
      </c>
    </row>
    <row r="6">
      <c r="A6" t="inlineStr">
        <is>
          <t>Electricity price you pay (p/kWh)</t>
        </is>
      </c>
      <c r="B6" s="6" t="n">
        <v>20</v>
      </c>
    </row>
    <row r="7">
      <c r="A7" t="inlineStr">
        <is>
          <t>FX ($ per £)</t>
        </is>
      </c>
      <c r="B7" s="7" t="n">
        <v>1.27</v>
      </c>
    </row>
    <row r="8">
      <c r="A8" t="inlineStr">
        <is>
          <t>Vast renter premium (host keeps 1 ÷ this)</t>
        </is>
      </c>
      <c r="B8" s="7" t="n">
        <v>1.25</v>
      </c>
      <c r="C8" s="3" t="inlineStr">
        <is>
          <t>Vast's renter price ≈ 25% above host earnings → host keeps ~80%</t>
        </is>
      </c>
    </row>
    <row r="9">
      <c r="A9" t="inlineStr">
        <is>
          <t>Maintenance (% of capex / yr)</t>
        </is>
      </c>
      <c r="B9" s="5" t="n">
        <v>0.05</v>
      </c>
    </row>
    <row r="10">
      <c r="A10" t="inlineStr">
        <is>
          <t>Other opex (£/box/yr: monitoring, platform, support)</t>
        </is>
      </c>
      <c r="B10" s="8" t="n">
        <v>150</v>
      </c>
    </row>
    <row r="11">
      <c r="A11" t="inlineStr">
        <is>
          <t>Hours per year</t>
        </is>
      </c>
      <c r="B11" s="9" t="n">
        <v>8760</v>
      </c>
    </row>
    <row r="12">
      <c r="A12" t="inlineStr">
        <is>
          <t>GPUs per box (pool box)</t>
        </is>
      </c>
      <c r="B12" s="9" t="n">
        <v>6</v>
      </c>
    </row>
    <row r="14">
      <c r="A14" s="4" t="inlineStr">
        <is>
          <t>REVENUE ASSUMPTIONS  (see 'Revenue vs GPU' tab)</t>
        </is>
      </c>
    </row>
    <row r="15">
      <c r="A15" t="inlineStr">
        <is>
          <t>Revenue method</t>
        </is>
      </c>
      <c r="B15" s="10" t="inlineStr">
        <is>
          <t>Rental</t>
        </is>
      </c>
    </row>
    <row r="16">
      <c r="A16" t="inlineStr">
        <is>
          <t>Token price (£ / million tokens, if Token)</t>
        </is>
      </c>
      <c r="B16" s="11" t="n">
        <v>0.4</v>
      </c>
      <c r="C16" s="3" t="inlineStr">
        <is>
          <t>commodity ~£0.03 · mid ~£0.15 · reliable-fleet ~£0.55+</t>
        </is>
      </c>
    </row>
    <row r="18">
      <c r="A18" s="4" t="inlineStr">
        <is>
          <t>POOL (HOST) ASSUMPTIONS</t>
        </is>
      </c>
    </row>
    <row r="19">
      <c r="A19" t="inlineStr">
        <is>
          <t>Indoor pool heat demand (kW)</t>
        </is>
      </c>
      <c r="B19" s="6" t="n">
        <v>7</v>
      </c>
      <c r="C19" s="3" t="inlineStr">
        <is>
          <t>mid indoor pool ~5–10 kW</t>
        </is>
      </c>
    </row>
    <row r="20">
      <c r="A20" t="inlineStr">
        <is>
          <t>Heat value displaced for host (p/kWh)</t>
        </is>
      </c>
      <c r="B20" s="6" t="n">
        <v>8</v>
      </c>
      <c r="C20" s="3" t="inlineStr">
        <is>
          <t>gas ~8 · pool heat-pump ~5.5 · electric ~25</t>
        </is>
      </c>
    </row>
    <row r="22">
      <c r="A22" s="4" t="inlineStr">
        <is>
          <t>SELECTED GPU  (drives Unit Economics)</t>
        </is>
      </c>
    </row>
    <row r="23">
      <c r="A23" t="inlineStr">
        <is>
          <t>GPU model</t>
        </is>
      </c>
      <c r="B23" s="10" t="inlineStr">
        <is>
          <t>RTX 4090</t>
        </is>
      </c>
      <c r="C23" s="3" t="inlineStr">
        <is>
          <t>pick any of the 12 below — Unit Economics recomputes</t>
        </is>
      </c>
    </row>
    <row r="25">
      <c r="A25" s="4" t="inlineStr">
        <is>
          <t>GPU RETURN-ON-CAPITAL — 12 cards worth costing, audited 7 Jun 2026, ranked best-first</t>
        </is>
      </c>
    </row>
    <row r="26" ht="42" customHeight="1">
      <c r="A26" s="12" t="inlineStr">
        <is>
          <t>GPU</t>
        </is>
      </c>
      <c r="B26" s="12" t="inlineStr">
        <is>
          <t>Used £</t>
        </is>
      </c>
      <c r="C26" s="12" t="inlineStr">
        <is>
          <t>Heat W</t>
        </is>
      </c>
      <c r="D26" s="12" t="inlineStr">
        <is>
          <t>Renter $/hr (typ)</t>
        </is>
      </c>
      <c r="E26" s="12" t="inlineStr">
        <is>
          <t>tok/s</t>
        </is>
      </c>
      <c r="F26" s="12" t="inlineStr">
        <is>
          <t>Occ %</t>
        </is>
      </c>
      <c r="G26" s="12" t="inlineStr">
        <is>
          <t>Host £/hr</t>
        </is>
      </c>
      <c r="H26" s="12" t="inlineStr">
        <is>
          <t>Net £/yr</t>
        </is>
      </c>
      <c r="I26" s="12" t="inlineStr">
        <is>
          <t>ROC %/yr</t>
        </is>
      </c>
      <c r="J26" s="12" t="inlineStr">
        <is>
          <t>Payback</t>
        </is>
      </c>
      <c r="K26" s="12" t="inlineStr">
        <is>
          <t>New £</t>
        </is>
      </c>
      <c r="L26" s="12" t="inlineStr">
        <is>
          <t>Vast headline $/hr</t>
        </is>
      </c>
      <c r="M26" s="12" t="inlineStr">
        <is>
          <t>confidence</t>
        </is>
      </c>
      <c r="N26" s="12" t="inlineStr">
        <is>
          <t>price</t>
        </is>
      </c>
      <c r="O26" s="12" t="inlineStr">
        <is>
          <t>rate</t>
        </is>
      </c>
    </row>
    <row r="27">
      <c r="A27" s="13" t="inlineStr">
        <is>
          <t>A100 80GB SXM</t>
        </is>
      </c>
      <c r="B27" s="14" t="n">
        <v>4000</v>
      </c>
      <c r="C27" s="13" t="n">
        <v>400</v>
      </c>
      <c r="D27" s="7" t="n">
        <v>0.85</v>
      </c>
      <c r="E27" s="13" t="n">
        <v>115</v>
      </c>
      <c r="F27" s="5" t="n">
        <v>0.55</v>
      </c>
      <c r="G27" s="15">
        <f>D27/$B$8/$B$7</f>
        <v/>
      </c>
      <c r="H27" s="16">
        <f>G27*F27*$B$11-(C27/1000)*$B$11*F27*($B$6/100)</f>
        <v/>
      </c>
      <c r="I27" s="17">
        <f>H27/B27</f>
        <v/>
      </c>
      <c r="J27" s="18">
        <f>IF(H27&gt;0,B27/H27*12,"never")</f>
        <v/>
      </c>
      <c r="K27" s="14" t="n">
        <v>6500</v>
      </c>
      <c r="L27" s="19" t="n">
        <v>0.97</v>
      </c>
      <c r="M27" s="20" t="inlineStr">
        <is>
          <t>price MOD / rate MOD</t>
        </is>
      </c>
      <c r="N27" s="21" t="inlineStr">
        <is>
          <t>price</t>
        </is>
      </c>
      <c r="O27" s="21" t="inlineStr">
        <is>
          <t>rate</t>
        </is>
      </c>
    </row>
    <row r="28">
      <c r="A28" s="13" t="inlineStr">
        <is>
          <t>A100 40GB PCIe</t>
        </is>
      </c>
      <c r="B28" s="14" t="n">
        <v>3500</v>
      </c>
      <c r="C28" s="13" t="n">
        <v>250</v>
      </c>
      <c r="D28" s="7" t="n">
        <v>0.6</v>
      </c>
      <c r="E28" s="13" t="n">
        <v>110</v>
      </c>
      <c r="F28" s="5" t="n">
        <v>0.55</v>
      </c>
      <c r="G28" s="15">
        <f>D28/$B$8/$B$7</f>
        <v/>
      </c>
      <c r="H28" s="16">
        <f>G28*F28*$B$11-(C28/1000)*$B$11*F28*($B$6/100)</f>
        <v/>
      </c>
      <c r="I28" s="17">
        <f>H28/B28</f>
        <v/>
      </c>
      <c r="J28" s="18">
        <f>IF(H28&gt;0,B28/H28*12,"never")</f>
        <v/>
      </c>
      <c r="K28" s="14" t="n">
        <v>5500</v>
      </c>
      <c r="L28" s="19" t="n">
        <v>0.64</v>
      </c>
      <c r="M28" s="20" t="inlineStr">
        <is>
          <t>price LOW / rate MOD</t>
        </is>
      </c>
      <c r="N28" s="21" t="inlineStr">
        <is>
          <t>price</t>
        </is>
      </c>
      <c r="O28" s="21" t="inlineStr">
        <is>
          <t>rate</t>
        </is>
      </c>
    </row>
    <row r="29">
      <c r="A29" s="13" t="inlineStr">
        <is>
          <t>RTX 5090</t>
        </is>
      </c>
      <c r="B29" s="14" t="n">
        <v>3270</v>
      </c>
      <c r="C29" s="13" t="n">
        <v>575</v>
      </c>
      <c r="D29" s="7" t="n">
        <v>0.65</v>
      </c>
      <c r="E29" s="13" t="n">
        <v>140</v>
      </c>
      <c r="F29" s="5" t="n">
        <v>0.55</v>
      </c>
      <c r="G29" s="15">
        <f>D29/$B$8/$B$7</f>
        <v/>
      </c>
      <c r="H29" s="16">
        <f>G29*F29*$B$11-(C29/1000)*$B$11*F29*($B$6/100)</f>
        <v/>
      </c>
      <c r="I29" s="17">
        <f>H29/B29</f>
        <v/>
      </c>
      <c r="J29" s="18">
        <f>IF(H29&gt;0,B29/H29*12,"never")</f>
        <v/>
      </c>
      <c r="K29" s="14" t="n">
        <v>3599</v>
      </c>
      <c r="L29" s="19" t="n">
        <v>0.8</v>
      </c>
      <c r="M29" s="20" t="inlineStr">
        <is>
          <t>price HIGH / rate LOW-MOD</t>
        </is>
      </c>
      <c r="N29" s="21" t="inlineStr">
        <is>
          <t>price</t>
        </is>
      </c>
      <c r="O29" s="21" t="inlineStr">
        <is>
          <t>rate</t>
        </is>
      </c>
    </row>
    <row r="30">
      <c r="A30" s="13" t="inlineStr">
        <is>
          <t>RTX 4090</t>
        </is>
      </c>
      <c r="B30" s="14" t="n">
        <v>1843</v>
      </c>
      <c r="C30" s="13" t="n">
        <v>450</v>
      </c>
      <c r="D30" s="7" t="n">
        <v>0.4</v>
      </c>
      <c r="E30" s="13" t="n">
        <v>120</v>
      </c>
      <c r="F30" s="5" t="n">
        <v>0.55</v>
      </c>
      <c r="G30" s="15">
        <f>D30/$B$8/$B$7</f>
        <v/>
      </c>
      <c r="H30" s="16">
        <f>G30*F30*$B$11-(C30/1000)*$B$11*F30*($B$6/100)</f>
        <v/>
      </c>
      <c r="I30" s="17">
        <f>H30/B30</f>
        <v/>
      </c>
      <c r="J30" s="18">
        <f>IF(H30&gt;0,B30/H30*12,"never")</f>
        <v/>
      </c>
      <c r="K30" s="14" t="n">
        <v>1804</v>
      </c>
      <c r="L30" s="19" t="n">
        <v>0.58</v>
      </c>
      <c r="M30" s="20" t="inlineStr">
        <is>
          <t>price HIGH / rate MOD</t>
        </is>
      </c>
      <c r="N30" s="21" t="inlineStr">
        <is>
          <t>price</t>
        </is>
      </c>
      <c r="O30" s="21" t="inlineStr">
        <is>
          <t>rate</t>
        </is>
      </c>
    </row>
    <row r="31">
      <c r="A31" s="13" t="inlineStr">
        <is>
          <t>NVIDIA L4</t>
        </is>
      </c>
      <c r="B31" s="14" t="n">
        <v>1550</v>
      </c>
      <c r="C31" s="13" t="n">
        <v>72</v>
      </c>
      <c r="D31" s="7" t="n">
        <v>0.29</v>
      </c>
      <c r="E31" s="13" t="n">
        <v>43</v>
      </c>
      <c r="F31" s="5" t="n">
        <v>0.35</v>
      </c>
      <c r="G31" s="15">
        <f>D31/$B$8/$B$7</f>
        <v/>
      </c>
      <c r="H31" s="16">
        <f>G31*F31*$B$11-(C31/1000)*$B$11*F31*($B$6/100)</f>
        <v/>
      </c>
      <c r="I31" s="17">
        <f>H31/B31</f>
        <v/>
      </c>
      <c r="J31" s="18">
        <f>IF(H31&gt;0,B31/H31*12,"never")</f>
        <v/>
      </c>
      <c r="K31" s="14" t="n">
        <v>2200</v>
      </c>
      <c r="L31" s="19" t="n">
        <v>0.29</v>
      </c>
      <c r="M31" s="20" t="inlineStr">
        <is>
          <t>price MOD / rate HIGH</t>
        </is>
      </c>
      <c r="N31" s="21" t="inlineStr">
        <is>
          <t>price</t>
        </is>
      </c>
      <c r="O31" s="21" t="inlineStr">
        <is>
          <t>rate</t>
        </is>
      </c>
    </row>
    <row r="32">
      <c r="A32" s="13" t="inlineStr">
        <is>
          <t>H100 80GB PCIe</t>
        </is>
      </c>
      <c r="B32" s="14" t="n">
        <v>18000</v>
      </c>
      <c r="C32" s="13" t="n">
        <v>350</v>
      </c>
      <c r="D32" s="7" t="n">
        <v>2</v>
      </c>
      <c r="E32" s="13" t="n">
        <v>280</v>
      </c>
      <c r="F32" s="5" t="n">
        <v>0.55</v>
      </c>
      <c r="G32" s="15">
        <f>D32/$B$8/$B$7</f>
        <v/>
      </c>
      <c r="H32" s="16">
        <f>G32*F32*$B$11-(C32/1000)*$B$11*F32*($B$6/100)</f>
        <v/>
      </c>
      <c r="I32" s="17">
        <f>H32/B32</f>
        <v/>
      </c>
      <c r="J32" s="18">
        <f>IF(H32&gt;0,B32/H32*12,"never")</f>
        <v/>
      </c>
      <c r="K32" s="14" t="n">
        <v>25000</v>
      </c>
      <c r="L32" s="19" t="n">
        <v>2.13</v>
      </c>
      <c r="M32" s="20" t="inlineStr">
        <is>
          <t>price LOW / rate HIGH</t>
        </is>
      </c>
      <c r="N32" s="21" t="inlineStr">
        <is>
          <t>price</t>
        </is>
      </c>
      <c r="O32" s="21" t="inlineStr">
        <is>
          <t>rate</t>
        </is>
      </c>
    </row>
    <row r="33">
      <c r="A33" s="13" t="inlineStr">
        <is>
          <t>RTX 3090</t>
        </is>
      </c>
      <c r="B33" s="14" t="n">
        <v>820</v>
      </c>
      <c r="C33" s="13" t="n">
        <v>350</v>
      </c>
      <c r="D33" s="7" t="n">
        <v>0.24</v>
      </c>
      <c r="E33" s="13" t="n">
        <v>95</v>
      </c>
      <c r="F33" s="5" t="n">
        <v>0.35</v>
      </c>
      <c r="G33" s="15">
        <f>D33/$B$8/$B$7</f>
        <v/>
      </c>
      <c r="H33" s="16">
        <f>G33*F33*$B$11-(C33/1000)*$B$11*F33*($B$6/100)</f>
        <v/>
      </c>
      <c r="I33" s="17">
        <f>H33/B33</f>
        <v/>
      </c>
      <c r="J33" s="18">
        <f>IF(H33&gt;0,B33/H33*12,"never")</f>
        <v/>
      </c>
      <c r="K33" s="14" t="n">
        <v>2180</v>
      </c>
      <c r="L33" s="19" t="n">
        <v>0.3</v>
      </c>
      <c r="M33" s="20" t="inlineStr">
        <is>
          <t>price HIGH / rate MOD</t>
        </is>
      </c>
      <c r="N33" s="21" t="inlineStr">
        <is>
          <t>price</t>
        </is>
      </c>
      <c r="O33" s="21" t="inlineStr">
        <is>
          <t>rate</t>
        </is>
      </c>
    </row>
    <row r="34">
      <c r="A34" s="13" t="inlineStr">
        <is>
          <t>RTX A6000</t>
        </is>
      </c>
      <c r="B34" s="14" t="n">
        <v>2900</v>
      </c>
      <c r="C34" s="13" t="n">
        <v>300</v>
      </c>
      <c r="D34" s="7" t="n">
        <v>0.39</v>
      </c>
      <c r="E34" s="13" t="n">
        <v>100</v>
      </c>
      <c r="F34" s="5" t="n">
        <v>0.45</v>
      </c>
      <c r="G34" s="15">
        <f>D34/$B$8/$B$7</f>
        <v/>
      </c>
      <c r="H34" s="16">
        <f>G34*F34*$B$11-(C34/1000)*$B$11*F34*($B$6/100)</f>
        <v/>
      </c>
      <c r="I34" s="17">
        <f>H34/B34</f>
        <v/>
      </c>
      <c r="J34" s="18">
        <f>IF(H34&gt;0,B34/H34*12,"never")</f>
        <v/>
      </c>
      <c r="K34" s="14" t="n">
        <v>3500</v>
      </c>
      <c r="L34" s="19" t="n">
        <v>0.39</v>
      </c>
      <c r="M34" s="20" t="inlineStr">
        <is>
          <t>price MOD / rate HIGH</t>
        </is>
      </c>
      <c r="N34" s="21" t="inlineStr">
        <is>
          <t>price</t>
        </is>
      </c>
      <c r="O34" s="21" t="inlineStr">
        <is>
          <t>rate</t>
        </is>
      </c>
    </row>
    <row r="35">
      <c r="A35" s="13" t="inlineStr">
        <is>
          <t>A10</t>
        </is>
      </c>
      <c r="B35" s="14" t="n">
        <v>1700</v>
      </c>
      <c r="C35" s="13" t="n">
        <v>150</v>
      </c>
      <c r="D35" s="7" t="n">
        <v>0.26</v>
      </c>
      <c r="E35" s="13" t="n">
        <v>70</v>
      </c>
      <c r="F35" s="5" t="n">
        <v>0.35</v>
      </c>
      <c r="G35" s="15">
        <f>D35/$B$8/$B$7</f>
        <v/>
      </c>
      <c r="H35" s="16">
        <f>G35*F35*$B$11-(C35/1000)*$B$11*F35*($B$6/100)</f>
        <v/>
      </c>
      <c r="I35" s="17">
        <f>H35/B35</f>
        <v/>
      </c>
      <c r="J35" s="18">
        <f>IF(H35&gt;0,B35/H35*12,"never")</f>
        <v/>
      </c>
      <c r="K35" s="14" t="n">
        <v>2545</v>
      </c>
      <c r="L35" s="19" t="n">
        <v>0.32</v>
      </c>
      <c r="M35" s="20" t="inlineStr">
        <is>
          <t>price MOD / rate MOD</t>
        </is>
      </c>
      <c r="N35" s="21" t="inlineStr">
        <is>
          <t>price</t>
        </is>
      </c>
      <c r="O35" s="21" t="inlineStr">
        <is>
          <t>rate</t>
        </is>
      </c>
    </row>
    <row r="36">
      <c r="A36" s="13" t="inlineStr">
        <is>
          <t>RTX A5000</t>
        </is>
      </c>
      <c r="B36" s="14" t="n">
        <v>1100</v>
      </c>
      <c r="C36" s="13" t="n">
        <v>230</v>
      </c>
      <c r="D36" s="7" t="n">
        <v>0.2</v>
      </c>
      <c r="E36" s="13" t="n">
        <v>75</v>
      </c>
      <c r="F36" s="5" t="n">
        <v>0.35</v>
      </c>
      <c r="G36" s="15">
        <f>D36/$B$8/$B$7</f>
        <v/>
      </c>
      <c r="H36" s="16">
        <f>G36*F36*$B$11-(C36/1000)*$B$11*F36*($B$6/100)</f>
        <v/>
      </c>
      <c r="I36" s="17">
        <f>H36/B36</f>
        <v/>
      </c>
      <c r="J36" s="18">
        <f>IF(H36&gt;0,B36/H36*12,"never")</f>
        <v/>
      </c>
      <c r="K36" s="14" t="n">
        <v>1900</v>
      </c>
      <c r="L36" s="19" t="n">
        <v>0.23</v>
      </c>
      <c r="M36" s="20" t="inlineStr">
        <is>
          <t>price MOD / rate HIGH</t>
        </is>
      </c>
      <c r="N36" s="21" t="inlineStr">
        <is>
          <t>price</t>
        </is>
      </c>
      <c r="O36" s="21" t="inlineStr">
        <is>
          <t>rate</t>
        </is>
      </c>
    </row>
    <row r="37">
      <c r="A37" s="13" t="inlineStr">
        <is>
          <t>L40S</t>
        </is>
      </c>
      <c r="B37" s="14" t="n">
        <v>5200</v>
      </c>
      <c r="C37" s="13" t="n">
        <v>350</v>
      </c>
      <c r="D37" s="7" t="n">
        <v>0.47</v>
      </c>
      <c r="E37" s="13" t="n">
        <v>115</v>
      </c>
      <c r="F37" s="5" t="n">
        <v>0.55</v>
      </c>
      <c r="G37" s="15">
        <f>D37/$B$8/$B$7</f>
        <v/>
      </c>
      <c r="H37" s="16">
        <f>G37*F37*$B$11-(C37/1000)*$B$11*F37*($B$6/100)</f>
        <v/>
      </c>
      <c r="I37" s="17">
        <f>H37/B37</f>
        <v/>
      </c>
      <c r="J37" s="18">
        <f>IF(H37&gt;0,B37/H37*12,"never")</f>
        <v/>
      </c>
      <c r="K37" s="14" t="n">
        <v>7130</v>
      </c>
      <c r="L37" s="19" t="n">
        <v>0.47</v>
      </c>
      <c r="M37" s="20" t="inlineStr">
        <is>
          <t>price MOD / rate MOD</t>
        </is>
      </c>
      <c r="N37" s="21" t="inlineStr">
        <is>
          <t>price</t>
        </is>
      </c>
      <c r="O37" s="21" t="inlineStr">
        <is>
          <t>rate</t>
        </is>
      </c>
    </row>
    <row r="38">
      <c r="A38" s="13" t="inlineStr">
        <is>
          <t>A40</t>
        </is>
      </c>
      <c r="B38" s="14" t="n">
        <v>3800</v>
      </c>
      <c r="C38" s="13" t="n">
        <v>300</v>
      </c>
      <c r="D38" s="7" t="n">
        <v>0.3</v>
      </c>
      <c r="E38" s="13" t="n">
        <v>90</v>
      </c>
      <c r="F38" s="5" t="n">
        <v>0.35</v>
      </c>
      <c r="G38" s="15">
        <f>D38/$B$8/$B$7</f>
        <v/>
      </c>
      <c r="H38" s="16">
        <f>G38*F38*$B$11-(C38/1000)*$B$11*F38*($B$6/100)</f>
        <v/>
      </c>
      <c r="I38" s="17">
        <f>H38/B38</f>
        <v/>
      </c>
      <c r="J38" s="18">
        <f>IF(H38&gt;0,B38/H38*12,"never")</f>
        <v/>
      </c>
      <c r="K38" s="14" t="n">
        <v>5100</v>
      </c>
      <c r="L38" s="19" t="n">
        <v>0.32</v>
      </c>
      <c r="M38" s="20" t="inlineStr">
        <is>
          <t>price MOD / rate MOD</t>
        </is>
      </c>
      <c r="N38" s="21" t="inlineStr">
        <is>
          <t>price</t>
        </is>
      </c>
      <c r="O38" s="21" t="inlineStr">
        <is>
          <t>rate</t>
        </is>
      </c>
    </row>
    <row r="39" ht="54" customHeight="1">
      <c r="A39" s="22" t="inlineStr">
        <is>
          <t>ROC %/yr = Net ÷ Used £ (the 'highest return on capital' ranking you asked for). Host £/hr = Renter $/hr ÷ 1.25 (Vast renter premium) ÷ 1.27 (FX). RENTER $/hr is the TYPICAL achieved rate (multi-source), NOT Vast's headline (shown for reference) — Vast's page price is a ceiling. Occ (yellow) = reasoned estimate; Vast publishes none — MEASURE it. Prices audited 7 Jun 2026 (bestvaluegpu.com + UK resellers).</t>
        </is>
      </c>
    </row>
    <row r="40" ht="28" customHeight="1">
      <c r="A40" s="22" t="inlineStr">
        <is>
          <t>Excluded: every sub-16GB / obsolete card (3060/3070/3080/4060Ti/4070/4080/5070/5080/2080Ti/V100/T4) — all LOSE money after electricity (renters won't hire &lt;16GB VRAM). Not a data gap; they are out of contention.</t>
        </is>
      </c>
    </row>
  </sheetData>
  <dataValidations count="2">
    <dataValidation sqref="B15" showDropDown="0" showInputMessage="0" showErrorMessage="0" allowBlank="0" type="list">
      <formula1>"Rental,Token"</formula1>
    </dataValidation>
    <dataValidation sqref="B23" showDropDown="0" showInputMessage="0" showErrorMessage="0" allowBlank="0" type="list">
      <formula1>=$A$27:$A$38</formula1>
    </dataValidation>
  </dataValidations>
  <hyperlinks>
    <hyperlink xmlns:r="http://schemas.openxmlformats.org/officeDocument/2006/relationships" ref="N27" r:id="rId1"/>
    <hyperlink xmlns:r="http://schemas.openxmlformats.org/officeDocument/2006/relationships" ref="O27" r:id="rId2"/>
    <hyperlink xmlns:r="http://schemas.openxmlformats.org/officeDocument/2006/relationships" ref="N28" r:id="rId3"/>
    <hyperlink xmlns:r="http://schemas.openxmlformats.org/officeDocument/2006/relationships" ref="O28" r:id="rId4"/>
    <hyperlink xmlns:r="http://schemas.openxmlformats.org/officeDocument/2006/relationships" ref="N29" r:id="rId5"/>
    <hyperlink xmlns:r="http://schemas.openxmlformats.org/officeDocument/2006/relationships" ref="O29" r:id="rId6"/>
    <hyperlink xmlns:r="http://schemas.openxmlformats.org/officeDocument/2006/relationships" ref="N30" r:id="rId7"/>
    <hyperlink xmlns:r="http://schemas.openxmlformats.org/officeDocument/2006/relationships" ref="O30" r:id="rId8"/>
    <hyperlink xmlns:r="http://schemas.openxmlformats.org/officeDocument/2006/relationships" ref="N31" r:id="rId9"/>
    <hyperlink xmlns:r="http://schemas.openxmlformats.org/officeDocument/2006/relationships" ref="O31" r:id="rId10"/>
    <hyperlink xmlns:r="http://schemas.openxmlformats.org/officeDocument/2006/relationships" ref="N32" r:id="rId11"/>
    <hyperlink xmlns:r="http://schemas.openxmlformats.org/officeDocument/2006/relationships" ref="O32" r:id="rId12"/>
    <hyperlink xmlns:r="http://schemas.openxmlformats.org/officeDocument/2006/relationships" ref="N33" r:id="rId13"/>
    <hyperlink xmlns:r="http://schemas.openxmlformats.org/officeDocument/2006/relationships" ref="O33" r:id="rId14"/>
    <hyperlink xmlns:r="http://schemas.openxmlformats.org/officeDocument/2006/relationships" ref="N34" r:id="rId15"/>
    <hyperlink xmlns:r="http://schemas.openxmlformats.org/officeDocument/2006/relationships" ref="O34" r:id="rId16"/>
    <hyperlink xmlns:r="http://schemas.openxmlformats.org/officeDocument/2006/relationships" ref="N35" r:id="rId17"/>
    <hyperlink xmlns:r="http://schemas.openxmlformats.org/officeDocument/2006/relationships" ref="O35" r:id="rId18"/>
    <hyperlink xmlns:r="http://schemas.openxmlformats.org/officeDocument/2006/relationships" ref="N36" r:id="rId19"/>
    <hyperlink xmlns:r="http://schemas.openxmlformats.org/officeDocument/2006/relationships" ref="O36" r:id="rId20"/>
    <hyperlink xmlns:r="http://schemas.openxmlformats.org/officeDocument/2006/relationships" ref="N37" r:id="rId21"/>
    <hyperlink xmlns:r="http://schemas.openxmlformats.org/officeDocument/2006/relationships" ref="O37" r:id="rId22"/>
    <hyperlink xmlns:r="http://schemas.openxmlformats.org/officeDocument/2006/relationships" ref="N38" r:id="rId23"/>
    <hyperlink xmlns:r="http://schemas.openxmlformats.org/officeDocument/2006/relationships" ref="O38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11" customWidth="1" min="4" max="4"/>
    <col width="12" customWidth="1" min="5" max="5"/>
  </cols>
  <sheetData>
    <row r="1">
      <c r="A1" s="1" t="inlineStr">
        <is>
          <t>Capital Cost — full bill of materials, per pool box (heat recovery REQUIRED)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Yellow = editable unit price. Qty auto-scales with GPUs/box (Assumptions!B12). Heat-recovery lines are mandatory — they ARE the host's free heat.</t>
        </is>
      </c>
    </row>
    <row r="4">
      <c r="A4" s="23" t="inlineStr">
        <is>
          <t>Item</t>
        </is>
      </c>
      <c r="B4" s="23" t="inlineStr">
        <is>
          <t>Unit £</t>
        </is>
      </c>
      <c r="C4" s="23" t="inlineStr">
        <is>
          <t>Qty</t>
        </is>
      </c>
      <c r="D4" s="23" t="inlineStr">
        <is>
          <t>Line £</t>
        </is>
      </c>
      <c r="E4" s="23" t="inlineStr">
        <is>
          <t>Source</t>
        </is>
      </c>
    </row>
    <row r="5">
      <c r="A5" s="24" t="inlineStr">
        <is>
          <t>COMPUTE + HOST</t>
        </is>
      </c>
      <c r="B5" s="25" t="n"/>
      <c r="C5" s="25" t="n"/>
      <c r="D5" s="25" t="n"/>
      <c r="E5" s="25" t="n"/>
    </row>
    <row r="6">
      <c r="A6" s="13" t="inlineStr">
        <is>
          <t>GPU (selected)</t>
        </is>
      </c>
      <c r="B6" s="26">
        <f>VLOOKUP(Assumptions!$B$23,Assumptions!$A$27:$P$38,2,FALSE)</f>
        <v/>
      </c>
      <c r="C6" s="27">
        <f>Assumptions!$B$12</f>
        <v/>
      </c>
      <c r="D6" s="14">
        <f>B6*C6</f>
        <v/>
      </c>
      <c r="E6" s="21" t="inlineStr">
        <is>
          <t>bestvaluegpu</t>
        </is>
      </c>
    </row>
    <row r="7">
      <c r="A7" s="13" t="inlineStr">
        <is>
          <t>PCIe riser cable (per GPU)</t>
        </is>
      </c>
      <c r="B7" s="8" t="n">
        <v>20</v>
      </c>
      <c r="C7" s="27">
        <f>Assumptions!$B$12</f>
        <v/>
      </c>
      <c r="D7" s="14">
        <f>B7*C7</f>
        <v/>
      </c>
      <c r="E7" s="21" t="inlineStr">
        <is>
          <t>Amazon UK</t>
        </is>
      </c>
    </row>
    <row r="8">
      <c r="A8" s="13" t="inlineStr">
        <is>
          <t>Chassis (4U GPU case)</t>
        </is>
      </c>
      <c r="B8" s="8" t="n">
        <v>110</v>
      </c>
      <c r="C8" s="27" t="n">
        <v>1</v>
      </c>
      <c r="D8" s="14">
        <f>B8*C8</f>
        <v/>
      </c>
      <c r="E8" s="21" t="inlineStr">
        <is>
          <t>Scan UK</t>
        </is>
      </c>
    </row>
    <row r="9">
      <c r="A9" s="13" t="inlineStr">
        <is>
          <t>PSU 1600W 80+ (1 per ~4 GPUs)</t>
        </is>
      </c>
      <c r="B9" s="8" t="n">
        <v>300</v>
      </c>
      <c r="C9" s="27">
        <f>ROUNDUP(Assumptions!$B$12/4,0)</f>
        <v/>
      </c>
      <c r="D9" s="14">
        <f>B9*C9</f>
        <v/>
      </c>
      <c r="E9" s="21" t="inlineStr">
        <is>
          <t>Scan UK</t>
        </is>
      </c>
    </row>
    <row r="10">
      <c r="A10" s="13" t="inlineStr">
        <is>
          <t>Mainboard (multi-PCIe)</t>
        </is>
      </c>
      <c r="B10" s="8" t="n">
        <v>290</v>
      </c>
      <c r="C10" s="27" t="n">
        <v>1</v>
      </c>
      <c r="D10" s="14">
        <f>B10*C10</f>
        <v/>
      </c>
      <c r="E10" s="21" t="inlineStr">
        <is>
          <t>idealo</t>
        </is>
      </c>
    </row>
    <row r="11">
      <c r="A11" s="13" t="inlineStr">
        <is>
          <t>CPU (host, Ryzen 9)</t>
        </is>
      </c>
      <c r="B11" s="8" t="n">
        <v>270</v>
      </c>
      <c r="C11" s="27" t="n">
        <v>1</v>
      </c>
      <c r="D11" s="14">
        <f>B11*C11</f>
        <v/>
      </c>
      <c r="E11" s="21" t="inlineStr">
        <is>
          <t>idealo</t>
        </is>
      </c>
    </row>
    <row r="12">
      <c r="A12" s="13" t="inlineStr">
        <is>
          <t>RAM 32GB DDR5</t>
        </is>
      </c>
      <c r="B12" s="8" t="n">
        <v>90</v>
      </c>
      <c r="C12" s="27" t="n">
        <v>1</v>
      </c>
      <c r="D12" s="14">
        <f>B12*C12</f>
        <v/>
      </c>
      <c r="E12" s="21" t="inlineStr">
        <is>
          <t>Amazon UK</t>
        </is>
      </c>
    </row>
    <row r="13">
      <c r="A13" s="13" t="inlineStr">
        <is>
          <t>NVMe 1TB (model-weight cache)</t>
        </is>
      </c>
      <c r="B13" s="8" t="n">
        <v>140</v>
      </c>
      <c r="C13" s="27" t="n">
        <v>1</v>
      </c>
      <c r="D13" s="14">
        <f>B13*C13</f>
        <v/>
      </c>
      <c r="E13" s="21" t="inlineStr">
        <is>
          <t>PriceSpy</t>
        </is>
      </c>
    </row>
    <row r="14">
      <c r="A14" s="13" t="inlineStr">
        <is>
          <t>Networking NIC 2.5GbE</t>
        </is>
      </c>
      <c r="B14" s="8" t="n">
        <v>15</v>
      </c>
      <c r="C14" s="27" t="n">
        <v>1</v>
      </c>
      <c r="D14" s="14">
        <f>B14*C14</f>
        <v/>
      </c>
      <c r="E14" s="21" t="inlineStr">
        <is>
          <t>Amazon UK</t>
        </is>
      </c>
    </row>
    <row r="15">
      <c r="A15" s="13" t="inlineStr">
        <is>
          <t>Node controller (Raspberry Pi 5)</t>
        </is>
      </c>
      <c r="B15" s="8" t="n">
        <v>80</v>
      </c>
      <c r="C15" s="27" t="n">
        <v>1</v>
      </c>
      <c r="D15" s="14">
        <f>B15*C15</f>
        <v/>
      </c>
      <c r="E15" s="21" t="inlineStr">
        <is>
          <t>idealo</t>
        </is>
      </c>
    </row>
    <row r="16">
      <c r="A16" s="24" t="inlineStr">
        <is>
          <t>HEAT RECOVERY (required — this is the host's free heat)</t>
        </is>
      </c>
      <c r="B16" s="25" t="n"/>
      <c r="C16" s="25" t="n"/>
      <c r="D16" s="25" t="n"/>
      <c r="E16" s="25" t="n"/>
    </row>
    <row r="17">
      <c r="A17" s="13" t="inlineStr">
        <is>
          <t>GPU water block (per GPU)</t>
        </is>
      </c>
      <c r="B17" s="8" t="n">
        <v>180</v>
      </c>
      <c r="C17" s="27">
        <f>Assumptions!$B$12</f>
        <v/>
      </c>
      <c r="D17" s="14">
        <f>B17*C17</f>
        <v/>
      </c>
      <c r="E17" s="21" t="inlineStr">
        <is>
          <t>EKWB / WatercoolingUK</t>
        </is>
      </c>
    </row>
    <row r="18">
      <c r="A18" s="13" t="inlineStr">
        <is>
          <t>Brazed-plate heat exchanger (to pool)</t>
        </is>
      </c>
      <c r="B18" s="8" t="n">
        <v>80</v>
      </c>
      <c r="C18" s="27" t="n">
        <v>1</v>
      </c>
      <c r="D18" s="14">
        <f>B18*C18</f>
        <v/>
      </c>
      <c r="E18" s="21" t="inlineStr">
        <is>
          <t>eBay UK</t>
        </is>
      </c>
    </row>
    <row r="19">
      <c r="A19" s="13" t="inlineStr">
        <is>
          <t>Circulation pump (D5)</t>
        </is>
      </c>
      <c r="B19" s="8" t="n">
        <v>89</v>
      </c>
      <c r="C19" s="27" t="n">
        <v>1</v>
      </c>
      <c r="D19" s="14">
        <f>B19*C19</f>
        <v/>
      </c>
      <c r="E19" s="21" t="inlineStr">
        <is>
          <t>WatercoolingUK</t>
        </is>
      </c>
    </row>
    <row r="20">
      <c r="A20" s="13" t="inlineStr">
        <is>
          <t>Coolant + tubing + fittings + reservoir</t>
        </is>
      </c>
      <c r="B20" s="8" t="n">
        <v>120</v>
      </c>
      <c r="C20" s="27" t="n">
        <v>1</v>
      </c>
      <c r="D20" s="14">
        <f>B20*C20</f>
        <v/>
      </c>
      <c r="E20" s="21" t="inlineStr">
        <is>
          <t>Amazon / WatercoolingUK</t>
        </is>
      </c>
    </row>
    <row r="21">
      <c r="A21" s="24" t="inlineStr">
        <is>
          <t>METERING + INSTALL</t>
        </is>
      </c>
      <c r="B21" s="25" t="n"/>
      <c r="C21" s="25" t="n"/>
      <c r="D21" s="25" t="n"/>
      <c r="E21" s="25" t="n"/>
    </row>
    <row r="22">
      <c r="A22" s="13" t="inlineStr">
        <is>
          <t>MID revenue submeter (electricity reimbursement)</t>
        </is>
      </c>
      <c r="B22" s="8" t="n">
        <v>100</v>
      </c>
      <c r="C22" s="27" t="n">
        <v>1</v>
      </c>
      <c r="D22" s="14">
        <f>B22*C22</f>
        <v/>
      </c>
      <c r="E22" s="21" t="inlineStr">
        <is>
          <t>smartprocess / TEW</t>
        </is>
      </c>
    </row>
    <row r="23">
      <c r="A23" s="13" t="inlineStr">
        <is>
          <t>Install — electrical (dedicated circuit / load mgmt)</t>
        </is>
      </c>
      <c r="B23" s="8" t="n">
        <v>450</v>
      </c>
      <c r="C23" s="27" t="n">
        <v>1</v>
      </c>
      <c r="D23" s="14">
        <f>B23*C23</f>
        <v/>
      </c>
      <c r="E23" s="21" t="inlineStr">
        <is>
          <t>electrician (BS 7671)</t>
        </is>
      </c>
    </row>
    <row r="24">
      <c r="A24" s="13" t="inlineStr">
        <is>
          <t>Install — pool plumbing (HX into pool loop)</t>
        </is>
      </c>
      <c r="B24" s="8" t="n">
        <v>500</v>
      </c>
      <c r="C24" s="27" t="n">
        <v>1</v>
      </c>
      <c r="D24" s="14">
        <f>B24*C24</f>
        <v/>
      </c>
      <c r="E24" s="21" t="inlineStr">
        <is>
          <t>SPATA pool installer</t>
        </is>
      </c>
    </row>
    <row r="26">
      <c r="A26" s="28" t="inlineStr">
        <is>
          <t>TOTAL CAPEX per box</t>
        </is>
      </c>
      <c r="D26" s="29">
        <f>SUM(D6:D24)</f>
        <v/>
      </c>
    </row>
    <row r="28">
      <c r="A28" s="3" t="inlineStr">
        <is>
          <t>Heat-recovery + pool-install lines are mandatory — without them there is no heat to give the host, so no site.</t>
        </is>
      </c>
    </row>
  </sheetData>
  <hyperlinks>
    <hyperlink xmlns:r="http://schemas.openxmlformats.org/officeDocument/2006/relationships" ref="E6" r:id="rId1"/>
    <hyperlink xmlns:r="http://schemas.openxmlformats.org/officeDocument/2006/relationships" ref="E7" r:id="rId2"/>
    <hyperlink xmlns:r="http://schemas.openxmlformats.org/officeDocument/2006/relationships" ref="E8" r:id="rId3"/>
    <hyperlink xmlns:r="http://schemas.openxmlformats.org/officeDocument/2006/relationships" ref="E9" r:id="rId4"/>
    <hyperlink xmlns:r="http://schemas.openxmlformats.org/officeDocument/2006/relationships" ref="E10" r:id="rId5"/>
    <hyperlink xmlns:r="http://schemas.openxmlformats.org/officeDocument/2006/relationships" ref="E11" r:id="rId6"/>
    <hyperlink xmlns:r="http://schemas.openxmlformats.org/officeDocument/2006/relationships" ref="E12" r:id="rId7"/>
    <hyperlink xmlns:r="http://schemas.openxmlformats.org/officeDocument/2006/relationships" ref="E13" r:id="rId8"/>
    <hyperlink xmlns:r="http://schemas.openxmlformats.org/officeDocument/2006/relationships" ref="E14" r:id="rId9"/>
    <hyperlink xmlns:r="http://schemas.openxmlformats.org/officeDocument/2006/relationships" ref="E15" r:id="rId10"/>
    <hyperlink xmlns:r="http://schemas.openxmlformats.org/officeDocument/2006/relationships" ref="E17" r:id="rId11"/>
    <hyperlink xmlns:r="http://schemas.openxmlformats.org/officeDocument/2006/relationships" ref="E18" r:id="rId12"/>
    <hyperlink xmlns:r="http://schemas.openxmlformats.org/officeDocument/2006/relationships" ref="E19" r:id="rId13"/>
    <hyperlink xmlns:r="http://schemas.openxmlformats.org/officeDocument/2006/relationships" ref="E20" r:id="rId14"/>
    <hyperlink xmlns:r="http://schemas.openxmlformats.org/officeDocument/2006/relationships" ref="E22" r:id="rId15"/>
    <hyperlink xmlns:r="http://schemas.openxmlformats.org/officeDocument/2006/relationships" ref="E23" r:id="rId16"/>
    <hyperlink xmlns:r="http://schemas.openxmlformats.org/officeDocument/2006/relationships" ref="E24" r:id="rId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8" customWidth="1" min="3" max="3"/>
    <col width="7" customWidth="1" min="4" max="4"/>
    <col width="11" customWidth="1" min="5" max="5"/>
    <col width="10" customWidth="1" min="6" max="6"/>
    <col width="10" customWidth="1" min="7" max="7"/>
    <col width="11" customWidth="1" min="8" max="8"/>
    <col width="10" customWidth="1" min="9" max="9"/>
    <col width="11" customWidth="1" min="10" max="10"/>
    <col width="11" customWidth="1" min="11" max="11"/>
    <col width="17" customWidth="1" min="12" max="12"/>
    <col width="7" customWidth="1" min="13" max="13"/>
  </cols>
  <sheetData>
    <row r="1">
      <c r="A1" s="1" t="inlineStr">
        <is>
          <t>GPU Cost-Benefit — every Vast.ai model, corrected host rate (ranked by payback)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42" customHeight="1">
      <c r="A2" s="22" t="inlineStr">
        <is>
          <t>Host £/hr = Renter $/hr ÷ premium (Assumptions!B8) ÷ FX (Assumptions!B7). Net = rental revenue − electricity (paid only while computing). Per-card occupancy from Assumptions col F. This is the table that drives card choice: high VRAM cards earn, sub-16GB cards sit idle.</t>
        </is>
      </c>
    </row>
    <row r="4">
      <c r="A4" s="23" t="inlineStr">
        <is>
          <t>GPU</t>
        </is>
      </c>
      <c r="B4" s="23" t="inlineStr">
        <is>
          <t>Buy £</t>
        </is>
      </c>
      <c r="C4" s="23" t="inlineStr">
        <is>
          <t>Heat W</t>
        </is>
      </c>
      <c r="D4" s="23" t="inlineStr">
        <is>
          <t>Occ %</t>
        </is>
      </c>
      <c r="E4" s="23" t="inlineStr">
        <is>
          <t>Renter $/hr</t>
        </is>
      </c>
      <c r="F4" s="23" t="inlineStr">
        <is>
          <t>Host $/hr</t>
        </is>
      </c>
      <c r="G4" s="23" t="inlineStr">
        <is>
          <t>Host £/hr</t>
        </is>
      </c>
      <c r="H4" s="23" t="inlineStr">
        <is>
          <t>Rental £/yr</t>
        </is>
      </c>
      <c r="I4" s="23" t="inlineStr">
        <is>
          <t>Elec £/yr</t>
        </is>
      </c>
      <c r="J4" s="23" t="inlineStr">
        <is>
          <t>NET £/yr</t>
        </is>
      </c>
      <c r="K4" s="23" t="inlineStr">
        <is>
          <t>Payback yr</t>
        </is>
      </c>
      <c r="L4" s="23" t="inlineStr">
        <is>
          <t>Net £/yr per kW heat</t>
        </is>
      </c>
      <c r="M4" s="23" t="inlineStr">
        <is>
          <t>tok/s</t>
        </is>
      </c>
    </row>
    <row r="5">
      <c r="A5" s="13">
        <f>Assumptions!A27</f>
        <v/>
      </c>
      <c r="B5" s="14">
        <f>Assumptions!B27</f>
        <v/>
      </c>
      <c r="C5" s="27">
        <f>Assumptions!C27</f>
        <v/>
      </c>
      <c r="D5" s="30">
        <f>Assumptions!F27</f>
        <v/>
      </c>
      <c r="E5" s="19">
        <f>Assumptions!D27</f>
        <v/>
      </c>
      <c r="F5" s="15">
        <f>Assumptions!D27/Assumptions!$B$8</f>
        <v/>
      </c>
      <c r="G5" s="15">
        <f>F5/Assumptions!$B$7</f>
        <v/>
      </c>
      <c r="H5" s="14">
        <f>G5*Assumptions!F27*Assumptions!$B$11</f>
        <v/>
      </c>
      <c r="I5" s="14">
        <f>(Assumptions!C27/1000)*Assumptions!$B$11*Assumptions!F27*(Assumptions!$B$6/100)</f>
        <v/>
      </c>
      <c r="J5" s="31">
        <f>H5-I5</f>
        <v/>
      </c>
      <c r="K5" s="18">
        <f>IF(J5&gt;0,B5/J5,"never")</f>
        <v/>
      </c>
      <c r="L5" s="14">
        <f>J5/(Assumptions!C27/1000)</f>
        <v/>
      </c>
      <c r="M5" s="13">
        <f>Assumptions!E27</f>
        <v/>
      </c>
    </row>
    <row r="6">
      <c r="A6" s="13">
        <f>Assumptions!A28</f>
        <v/>
      </c>
      <c r="B6" s="14">
        <f>Assumptions!B28</f>
        <v/>
      </c>
      <c r="C6" s="27">
        <f>Assumptions!C28</f>
        <v/>
      </c>
      <c r="D6" s="30">
        <f>Assumptions!F28</f>
        <v/>
      </c>
      <c r="E6" s="19">
        <f>Assumptions!D28</f>
        <v/>
      </c>
      <c r="F6" s="15">
        <f>Assumptions!D28/Assumptions!$B$8</f>
        <v/>
      </c>
      <c r="G6" s="15">
        <f>F6/Assumptions!$B$7</f>
        <v/>
      </c>
      <c r="H6" s="14">
        <f>G6*Assumptions!F28*Assumptions!$B$11</f>
        <v/>
      </c>
      <c r="I6" s="14">
        <f>(Assumptions!C28/1000)*Assumptions!$B$11*Assumptions!F28*(Assumptions!$B$6/100)</f>
        <v/>
      </c>
      <c r="J6" s="31">
        <f>H6-I6</f>
        <v/>
      </c>
      <c r="K6" s="18">
        <f>IF(J6&gt;0,B6/J6,"never")</f>
        <v/>
      </c>
      <c r="L6" s="14">
        <f>J6/(Assumptions!C28/1000)</f>
        <v/>
      </c>
      <c r="M6" s="13">
        <f>Assumptions!E28</f>
        <v/>
      </c>
    </row>
    <row r="7">
      <c r="A7" s="13">
        <f>Assumptions!A29</f>
        <v/>
      </c>
      <c r="B7" s="14">
        <f>Assumptions!B29</f>
        <v/>
      </c>
      <c r="C7" s="27">
        <f>Assumptions!C29</f>
        <v/>
      </c>
      <c r="D7" s="30">
        <f>Assumptions!F29</f>
        <v/>
      </c>
      <c r="E7" s="19">
        <f>Assumptions!D29</f>
        <v/>
      </c>
      <c r="F7" s="15">
        <f>Assumptions!D29/Assumptions!$B$8</f>
        <v/>
      </c>
      <c r="G7" s="15">
        <f>F7/Assumptions!$B$7</f>
        <v/>
      </c>
      <c r="H7" s="14">
        <f>G7*Assumptions!F29*Assumptions!$B$11</f>
        <v/>
      </c>
      <c r="I7" s="14">
        <f>(Assumptions!C29/1000)*Assumptions!$B$11*Assumptions!F29*(Assumptions!$B$6/100)</f>
        <v/>
      </c>
      <c r="J7" s="31">
        <f>H7-I7</f>
        <v/>
      </c>
      <c r="K7" s="18">
        <f>IF(J7&gt;0,B7/J7,"never")</f>
        <v/>
      </c>
      <c r="L7" s="14">
        <f>J7/(Assumptions!C29/1000)</f>
        <v/>
      </c>
      <c r="M7" s="13">
        <f>Assumptions!E29</f>
        <v/>
      </c>
    </row>
    <row r="8">
      <c r="A8" s="13">
        <f>Assumptions!A30</f>
        <v/>
      </c>
      <c r="B8" s="14">
        <f>Assumptions!B30</f>
        <v/>
      </c>
      <c r="C8" s="27">
        <f>Assumptions!C30</f>
        <v/>
      </c>
      <c r="D8" s="30">
        <f>Assumptions!F30</f>
        <v/>
      </c>
      <c r="E8" s="19">
        <f>Assumptions!D30</f>
        <v/>
      </c>
      <c r="F8" s="15">
        <f>Assumptions!D30/Assumptions!$B$8</f>
        <v/>
      </c>
      <c r="G8" s="15">
        <f>F8/Assumptions!$B$7</f>
        <v/>
      </c>
      <c r="H8" s="14">
        <f>G8*Assumptions!F30*Assumptions!$B$11</f>
        <v/>
      </c>
      <c r="I8" s="14">
        <f>(Assumptions!C30/1000)*Assumptions!$B$11*Assumptions!F30*(Assumptions!$B$6/100)</f>
        <v/>
      </c>
      <c r="J8" s="31">
        <f>H8-I8</f>
        <v/>
      </c>
      <c r="K8" s="18">
        <f>IF(J8&gt;0,B8/J8,"never")</f>
        <v/>
      </c>
      <c r="L8" s="14">
        <f>J8/(Assumptions!C30/1000)</f>
        <v/>
      </c>
      <c r="M8" s="13">
        <f>Assumptions!E30</f>
        <v/>
      </c>
    </row>
    <row r="9">
      <c r="A9" s="13">
        <f>Assumptions!A31</f>
        <v/>
      </c>
      <c r="B9" s="14">
        <f>Assumptions!B31</f>
        <v/>
      </c>
      <c r="C9" s="27">
        <f>Assumptions!C31</f>
        <v/>
      </c>
      <c r="D9" s="30">
        <f>Assumptions!F31</f>
        <v/>
      </c>
      <c r="E9" s="19">
        <f>Assumptions!D31</f>
        <v/>
      </c>
      <c r="F9" s="15">
        <f>Assumptions!D31/Assumptions!$B$8</f>
        <v/>
      </c>
      <c r="G9" s="15">
        <f>F9/Assumptions!$B$7</f>
        <v/>
      </c>
      <c r="H9" s="14">
        <f>G9*Assumptions!F31*Assumptions!$B$11</f>
        <v/>
      </c>
      <c r="I9" s="14">
        <f>(Assumptions!C31/1000)*Assumptions!$B$11*Assumptions!F31*(Assumptions!$B$6/100)</f>
        <v/>
      </c>
      <c r="J9" s="31">
        <f>H9-I9</f>
        <v/>
      </c>
      <c r="K9" s="18">
        <f>IF(J9&gt;0,B9/J9,"never")</f>
        <v/>
      </c>
      <c r="L9" s="14">
        <f>J9/(Assumptions!C31/1000)</f>
        <v/>
      </c>
      <c r="M9" s="13">
        <f>Assumptions!E31</f>
        <v/>
      </c>
    </row>
    <row r="10">
      <c r="A10" s="13">
        <f>Assumptions!A32</f>
        <v/>
      </c>
      <c r="B10" s="14">
        <f>Assumptions!B32</f>
        <v/>
      </c>
      <c r="C10" s="27">
        <f>Assumptions!C32</f>
        <v/>
      </c>
      <c r="D10" s="30">
        <f>Assumptions!F32</f>
        <v/>
      </c>
      <c r="E10" s="19">
        <f>Assumptions!D32</f>
        <v/>
      </c>
      <c r="F10" s="15">
        <f>Assumptions!D32/Assumptions!$B$8</f>
        <v/>
      </c>
      <c r="G10" s="15">
        <f>F10/Assumptions!$B$7</f>
        <v/>
      </c>
      <c r="H10" s="14">
        <f>G10*Assumptions!F32*Assumptions!$B$11</f>
        <v/>
      </c>
      <c r="I10" s="14">
        <f>(Assumptions!C32/1000)*Assumptions!$B$11*Assumptions!F32*(Assumptions!$B$6/100)</f>
        <v/>
      </c>
      <c r="J10" s="31">
        <f>H10-I10</f>
        <v/>
      </c>
      <c r="K10" s="18">
        <f>IF(J10&gt;0,B10/J10,"never")</f>
        <v/>
      </c>
      <c r="L10" s="14">
        <f>J10/(Assumptions!C32/1000)</f>
        <v/>
      </c>
      <c r="M10" s="13">
        <f>Assumptions!E32</f>
        <v/>
      </c>
    </row>
    <row r="11">
      <c r="A11" s="13">
        <f>Assumptions!A33</f>
        <v/>
      </c>
      <c r="B11" s="14">
        <f>Assumptions!B33</f>
        <v/>
      </c>
      <c r="C11" s="27">
        <f>Assumptions!C33</f>
        <v/>
      </c>
      <c r="D11" s="30">
        <f>Assumptions!F33</f>
        <v/>
      </c>
      <c r="E11" s="19">
        <f>Assumptions!D33</f>
        <v/>
      </c>
      <c r="F11" s="15">
        <f>Assumptions!D33/Assumptions!$B$8</f>
        <v/>
      </c>
      <c r="G11" s="15">
        <f>F11/Assumptions!$B$7</f>
        <v/>
      </c>
      <c r="H11" s="14">
        <f>G11*Assumptions!F33*Assumptions!$B$11</f>
        <v/>
      </c>
      <c r="I11" s="14">
        <f>(Assumptions!C33/1000)*Assumptions!$B$11*Assumptions!F33*(Assumptions!$B$6/100)</f>
        <v/>
      </c>
      <c r="J11" s="31">
        <f>H11-I11</f>
        <v/>
      </c>
      <c r="K11" s="18">
        <f>IF(J11&gt;0,B11/J11,"never")</f>
        <v/>
      </c>
      <c r="L11" s="14">
        <f>J11/(Assumptions!C33/1000)</f>
        <v/>
      </c>
      <c r="M11" s="13">
        <f>Assumptions!E33</f>
        <v/>
      </c>
    </row>
    <row r="12">
      <c r="A12" s="13">
        <f>Assumptions!A34</f>
        <v/>
      </c>
      <c r="B12" s="14">
        <f>Assumptions!B34</f>
        <v/>
      </c>
      <c r="C12" s="27">
        <f>Assumptions!C34</f>
        <v/>
      </c>
      <c r="D12" s="30">
        <f>Assumptions!F34</f>
        <v/>
      </c>
      <c r="E12" s="19">
        <f>Assumptions!D34</f>
        <v/>
      </c>
      <c r="F12" s="15">
        <f>Assumptions!D34/Assumptions!$B$8</f>
        <v/>
      </c>
      <c r="G12" s="15">
        <f>F12/Assumptions!$B$7</f>
        <v/>
      </c>
      <c r="H12" s="14">
        <f>G12*Assumptions!F34*Assumptions!$B$11</f>
        <v/>
      </c>
      <c r="I12" s="14">
        <f>(Assumptions!C34/1000)*Assumptions!$B$11*Assumptions!F34*(Assumptions!$B$6/100)</f>
        <v/>
      </c>
      <c r="J12" s="31">
        <f>H12-I12</f>
        <v/>
      </c>
      <c r="K12" s="18">
        <f>IF(J12&gt;0,B12/J12,"never")</f>
        <v/>
      </c>
      <c r="L12" s="14">
        <f>J12/(Assumptions!C34/1000)</f>
        <v/>
      </c>
      <c r="M12" s="13">
        <f>Assumptions!E34</f>
        <v/>
      </c>
    </row>
    <row r="13">
      <c r="A13" s="13">
        <f>Assumptions!A35</f>
        <v/>
      </c>
      <c r="B13" s="14">
        <f>Assumptions!B35</f>
        <v/>
      </c>
      <c r="C13" s="27">
        <f>Assumptions!C35</f>
        <v/>
      </c>
      <c r="D13" s="30">
        <f>Assumptions!F35</f>
        <v/>
      </c>
      <c r="E13" s="19">
        <f>Assumptions!D35</f>
        <v/>
      </c>
      <c r="F13" s="15">
        <f>Assumptions!D35/Assumptions!$B$8</f>
        <v/>
      </c>
      <c r="G13" s="15">
        <f>F13/Assumptions!$B$7</f>
        <v/>
      </c>
      <c r="H13" s="14">
        <f>G13*Assumptions!F35*Assumptions!$B$11</f>
        <v/>
      </c>
      <c r="I13" s="14">
        <f>(Assumptions!C35/1000)*Assumptions!$B$11*Assumptions!F35*(Assumptions!$B$6/100)</f>
        <v/>
      </c>
      <c r="J13" s="31">
        <f>H13-I13</f>
        <v/>
      </c>
      <c r="K13" s="18">
        <f>IF(J13&gt;0,B13/J13,"never")</f>
        <v/>
      </c>
      <c r="L13" s="14">
        <f>J13/(Assumptions!C35/1000)</f>
        <v/>
      </c>
      <c r="M13" s="13">
        <f>Assumptions!E35</f>
        <v/>
      </c>
    </row>
    <row r="14">
      <c r="A14" s="13">
        <f>Assumptions!A36</f>
        <v/>
      </c>
      <c r="B14" s="14">
        <f>Assumptions!B36</f>
        <v/>
      </c>
      <c r="C14" s="27">
        <f>Assumptions!C36</f>
        <v/>
      </c>
      <c r="D14" s="30">
        <f>Assumptions!F36</f>
        <v/>
      </c>
      <c r="E14" s="19">
        <f>Assumptions!D36</f>
        <v/>
      </c>
      <c r="F14" s="15">
        <f>Assumptions!D36/Assumptions!$B$8</f>
        <v/>
      </c>
      <c r="G14" s="15">
        <f>F14/Assumptions!$B$7</f>
        <v/>
      </c>
      <c r="H14" s="14">
        <f>G14*Assumptions!F36*Assumptions!$B$11</f>
        <v/>
      </c>
      <c r="I14" s="14">
        <f>(Assumptions!C36/1000)*Assumptions!$B$11*Assumptions!F36*(Assumptions!$B$6/100)</f>
        <v/>
      </c>
      <c r="J14" s="31">
        <f>H14-I14</f>
        <v/>
      </c>
      <c r="K14" s="18">
        <f>IF(J14&gt;0,B14/J14,"never")</f>
        <v/>
      </c>
      <c r="L14" s="14">
        <f>J14/(Assumptions!C36/1000)</f>
        <v/>
      </c>
      <c r="M14" s="13">
        <f>Assumptions!E36</f>
        <v/>
      </c>
    </row>
    <row r="15">
      <c r="A15" s="13">
        <f>Assumptions!A37</f>
        <v/>
      </c>
      <c r="B15" s="14">
        <f>Assumptions!B37</f>
        <v/>
      </c>
      <c r="C15" s="27">
        <f>Assumptions!C37</f>
        <v/>
      </c>
      <c r="D15" s="30">
        <f>Assumptions!F37</f>
        <v/>
      </c>
      <c r="E15" s="19">
        <f>Assumptions!D37</f>
        <v/>
      </c>
      <c r="F15" s="15">
        <f>Assumptions!D37/Assumptions!$B$8</f>
        <v/>
      </c>
      <c r="G15" s="15">
        <f>F15/Assumptions!$B$7</f>
        <v/>
      </c>
      <c r="H15" s="14">
        <f>G15*Assumptions!F37*Assumptions!$B$11</f>
        <v/>
      </c>
      <c r="I15" s="14">
        <f>(Assumptions!C37/1000)*Assumptions!$B$11*Assumptions!F37*(Assumptions!$B$6/100)</f>
        <v/>
      </c>
      <c r="J15" s="31">
        <f>H15-I15</f>
        <v/>
      </c>
      <c r="K15" s="18">
        <f>IF(J15&gt;0,B15/J15,"never")</f>
        <v/>
      </c>
      <c r="L15" s="14">
        <f>J15/(Assumptions!C37/1000)</f>
        <v/>
      </c>
      <c r="M15" s="13">
        <f>Assumptions!E37</f>
        <v/>
      </c>
    </row>
    <row r="16">
      <c r="A16" s="13">
        <f>Assumptions!A38</f>
        <v/>
      </c>
      <c r="B16" s="14">
        <f>Assumptions!B38</f>
        <v/>
      </c>
      <c r="C16" s="27">
        <f>Assumptions!C38</f>
        <v/>
      </c>
      <c r="D16" s="30">
        <f>Assumptions!F38</f>
        <v/>
      </c>
      <c r="E16" s="19">
        <f>Assumptions!D38</f>
        <v/>
      </c>
      <c r="F16" s="15">
        <f>Assumptions!D38/Assumptions!$B$8</f>
        <v/>
      </c>
      <c r="G16" s="15">
        <f>F16/Assumptions!$B$7</f>
        <v/>
      </c>
      <c r="H16" s="14">
        <f>G16*Assumptions!F38*Assumptions!$B$11</f>
        <v/>
      </c>
      <c r="I16" s="14">
        <f>(Assumptions!C38/1000)*Assumptions!$B$11*Assumptions!F38*(Assumptions!$B$6/100)</f>
        <v/>
      </c>
      <c r="J16" s="31">
        <f>H16-I16</f>
        <v/>
      </c>
      <c r="K16" s="18">
        <f>IF(J16&gt;0,B16/J16,"never")</f>
        <v/>
      </c>
      <c r="L16" s="14">
        <f>J16/(Assumptions!C38/1000)</f>
        <v/>
      </c>
      <c r="M16" s="13">
        <f>Assumptions!E38</f>
        <v/>
      </c>
    </row>
    <row r="18">
      <c r="A18" s="3" t="inlineStr">
        <is>
          <t>Read it as: a card must EARN (≥24GB VRAM → real occupancy) AND make real HEAT (high TDP) to suit a heat-recovery box. The 4090/5090 win on both; sub-16GB cards lose money after electricity.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22" customWidth="1" min="3" max="3"/>
  </cols>
  <sheetData>
    <row r="1">
      <c r="A1" s="1" t="inlineStr">
        <is>
          <t>Per-Box Unit Economics — indoor pool box (selected GPU × GPUs/box)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3">
      <c r="A3" s="4" t="inlineStr">
        <is>
          <t>CONFIGURATION</t>
        </is>
      </c>
    </row>
    <row r="4">
      <c r="A4" t="inlineStr">
        <is>
          <t>GPU</t>
        </is>
      </c>
      <c r="B4">
        <f>Assumptions!B23</f>
        <v/>
      </c>
    </row>
    <row r="5">
      <c r="A5" t="inlineStr">
        <is>
          <t>GPUs per box</t>
        </is>
      </c>
      <c r="B5" s="32">
        <f>Assumptions!B12</f>
        <v/>
      </c>
    </row>
    <row r="6">
      <c r="A6" t="inlineStr">
        <is>
          <t>Revenue method</t>
        </is>
      </c>
      <c r="B6">
        <f>Assumptions!B15</f>
        <v/>
      </c>
    </row>
    <row r="7">
      <c r="A7" t="inlineStr">
        <is>
          <t>Renter $/hr per GPU (typical achieved, not Vast headline)</t>
        </is>
      </c>
      <c r="B7" s="33">
        <f>VLOOKUP(Assumptions!B23,Assumptions!$A$27:$P$38,4,FALSE)</f>
        <v/>
      </c>
    </row>
    <row r="8">
      <c r="A8" t="inlineStr">
        <is>
          <t>Host £/hr per GPU (after ÷1.25 ÷FX)</t>
        </is>
      </c>
      <c r="B8" s="34">
        <f>B7/Assumptions!B8/Assumptions!B7</f>
        <v/>
      </c>
    </row>
    <row r="9">
      <c r="A9" t="inlineStr">
        <is>
          <t>tok/s per GPU</t>
        </is>
      </c>
      <c r="B9" s="32">
        <f>VLOOKUP(Assumptions!B23,Assumptions!$A$27:$P$38,5,FALSE)</f>
        <v/>
      </c>
    </row>
    <row r="10">
      <c r="A10" t="inlineStr">
        <is>
          <t>TDP per GPU (W = heat)</t>
        </is>
      </c>
      <c r="B10" s="32">
        <f>VLOOKUP(Assumptions!B23,Assumptions!$A$27:$P$38,3,FALSE)</f>
        <v/>
      </c>
    </row>
    <row r="12">
      <c r="A12" s="4" t="inlineStr">
        <is>
          <t>CAPITAL</t>
        </is>
      </c>
    </row>
    <row r="13">
      <c r="A13" t="inlineStr">
        <is>
          <t>TOTAL CAPEX per box (from BoM)</t>
        </is>
      </c>
      <c r="B13" s="16">
        <f>'Capital Cost (BoM)'!$D$26</f>
        <v/>
      </c>
    </row>
    <row r="15">
      <c r="A15" s="4" t="inlineStr">
        <is>
          <t>ANNUAL P&amp;L (£/yr)</t>
        </is>
      </c>
    </row>
    <row r="16">
      <c r="A16" t="inlineStr">
        <is>
          <t>Power draw (kW)</t>
        </is>
      </c>
      <c r="B16" s="33">
        <f>B5*B10/1000</f>
        <v/>
      </c>
    </row>
    <row r="17">
      <c r="A17" t="inlineStr">
        <is>
          <t>Revenue — rental (corrected host rate)</t>
        </is>
      </c>
      <c r="B17" s="35">
        <f>B5*B8*Assumptions!B5*Assumptions!B11</f>
        <v/>
      </c>
    </row>
    <row r="18">
      <c r="A18" t="inlineStr">
        <is>
          <t>Revenue — token</t>
        </is>
      </c>
      <c r="B18" s="35">
        <f>B5*B9*3600*Assumptions!B11*Assumptions!B5/1000000*Assumptions!B16</f>
        <v/>
      </c>
    </row>
    <row r="19">
      <c r="A19" t="inlineStr">
        <is>
          <t>Revenue — selected method</t>
        </is>
      </c>
      <c r="B19" s="16">
        <f>IF(Assumptions!B15="Token",B18,B17)</f>
        <v/>
      </c>
    </row>
    <row r="20">
      <c r="A20" t="inlineStr">
        <is>
          <t>Electricity (you pay)</t>
        </is>
      </c>
      <c r="B20" s="35">
        <f>B16*Assumptions!B11*Assumptions!B5*(Assumptions!B6/100)</f>
        <v/>
      </c>
    </row>
    <row r="21">
      <c r="A21" t="inlineStr">
        <is>
          <t>Maintenance</t>
        </is>
      </c>
      <c r="B21" s="35">
        <f>Assumptions!B9*B13</f>
        <v/>
      </c>
    </row>
    <row r="22">
      <c r="A22" t="inlineStr">
        <is>
          <t>Other opex</t>
        </is>
      </c>
      <c r="B22" s="35">
        <f>Assumptions!B10</f>
        <v/>
      </c>
    </row>
    <row r="23">
      <c r="A23" t="inlineStr">
        <is>
          <t>NET PROFIT</t>
        </is>
      </c>
      <c r="B23" s="16">
        <f>B19-B20-B21-B22</f>
        <v/>
      </c>
    </row>
    <row r="25">
      <c r="A25" s="4" t="inlineStr">
        <is>
          <t>RETURNS</t>
        </is>
      </c>
    </row>
    <row r="26">
      <c r="A26" t="inlineStr">
        <is>
          <t>Payback (years)</t>
        </is>
      </c>
      <c r="B26" s="36">
        <f>IF(B23&gt;0,B13/B23,"loss")</f>
        <v/>
      </c>
    </row>
    <row r="27">
      <c r="A27" t="inlineStr">
        <is>
          <t>Return on capital (%/yr)</t>
        </is>
      </c>
      <c r="B27" s="17">
        <f>IF(B13&gt;0,B23/B13,0)</f>
        <v/>
      </c>
    </row>
    <row r="29">
      <c r="A29" s="4" t="inlineStr">
        <is>
          <t>HEAT TO THE POOL (free to host — not your revenue)</t>
        </is>
      </c>
    </row>
    <row r="30">
      <c r="A30" t="inlineStr">
        <is>
          <t>Heat output (kW, util-weighted avg)</t>
        </is>
      </c>
      <c r="B30" s="33">
        <f>B16*Assumptions!B5</f>
        <v/>
      </c>
    </row>
    <row r="31">
      <c r="A31" t="inlineStr">
        <is>
          <t>Heat output (kWh/yr)</t>
        </is>
      </c>
      <c r="B31" s="32">
        <f>B16*Assumptions!B11*Assumptions!B5</f>
        <v/>
      </c>
    </row>
    <row r="32">
      <c r="A32" t="inlineStr">
        <is>
          <t>Value to pool owner (£/yr)</t>
        </is>
      </c>
      <c r="B32" s="16">
        <f>B31*(Assumptions!B20/100)</f>
        <v/>
      </c>
    </row>
    <row r="33">
      <c r="A33" t="inlineStr">
        <is>
          <t>Boxes to meet pool's heat demand</t>
        </is>
      </c>
      <c r="B33" s="37">
        <f>ROUNDUP(Assumptions!B19/MAX(B30,0.01),0)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</cols>
  <sheetData>
    <row r="1">
      <c r="A1" s="1" t="inlineStr">
        <is>
          <t>Indoor Private Pool — the deployment we're focusing 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3">
      <c r="A3" s="4" t="inlineStr">
        <is>
          <t>THE POOL (host)</t>
        </is>
      </c>
    </row>
    <row r="4">
      <c r="A4" t="inlineStr">
        <is>
          <t>Pool heat demand (kW)</t>
        </is>
      </c>
      <c r="B4" s="38">
        <f>Assumptions!B19</f>
        <v/>
      </c>
    </row>
    <row r="5">
      <c r="A5" t="inlineStr">
        <is>
          <t>Pool heating cost today (£/yr, indoor)</t>
        </is>
      </c>
      <c r="B5" s="8" t="n">
        <v>3500</v>
      </c>
      <c r="C5" s="3" t="inlineStr">
        <is>
          <t>indoor pool ~£2,500–4,000/yr</t>
        </is>
      </c>
    </row>
    <row r="6">
      <c r="A6" t="inlineStr">
        <is>
          <t>Heat we deliver per box (kW avg)</t>
        </is>
      </c>
      <c r="B6" s="33">
        <f>'Unit Economics'!B30</f>
        <v/>
      </c>
    </row>
    <row r="7">
      <c r="A7" t="inlineStr">
        <is>
          <t>Boxes per pool (to match demand)</t>
        </is>
      </c>
      <c r="B7" s="37">
        <f>ROUNDUP(B4/MAX(B6,0.01),0)</f>
        <v/>
      </c>
    </row>
    <row r="8">
      <c r="A8" t="inlineStr">
        <is>
          <t>GPUs per pool</t>
        </is>
      </c>
      <c r="B8" s="37">
        <f>B7*Assumptions!B12</f>
        <v/>
      </c>
    </row>
    <row r="10">
      <c r="A10" s="4" t="inlineStr">
        <is>
          <t>VALUE TO THE POOL OWNER</t>
        </is>
      </c>
    </row>
    <row r="11">
      <c r="A11" t="inlineStr">
        <is>
          <t>Free heat delivered (£/yr)</t>
        </is>
      </c>
      <c r="B11" s="16">
        <f>B7*'Unit Economics'!B32</f>
        <v/>
      </c>
    </row>
    <row r="12">
      <c r="A12" t="inlineStr">
        <is>
          <t>≈ share of their heating bill covered</t>
        </is>
      </c>
      <c r="B12" s="17">
        <f>IF(B5&gt;0,MIN(1,B11/B5),0)</f>
        <v/>
      </c>
    </row>
    <row r="14">
      <c r="A14" s="4" t="inlineStr">
        <is>
          <t>VALUE TO YOU (per pool)</t>
        </is>
      </c>
    </row>
    <row r="15">
      <c r="A15" t="inlineStr">
        <is>
          <t>Capex per pool</t>
        </is>
      </c>
      <c r="B15" s="16">
        <f>B7*'Unit Economics'!B13</f>
        <v/>
      </c>
    </row>
    <row r="16">
      <c r="A16" t="inlineStr">
        <is>
          <t>Net profit per pool (£/yr)</t>
        </is>
      </c>
      <c r="B16" s="16">
        <f>B7*'Unit Economics'!B23</f>
        <v/>
      </c>
    </row>
    <row r="17">
      <c r="A17" t="inlineStr">
        <is>
          <t>Payback (years)</t>
        </is>
      </c>
      <c r="B17" s="36">
        <f>IF(B16&gt;0,B15/B16,"loss")</f>
        <v/>
      </c>
    </row>
    <row r="19">
      <c r="A19" s="4" t="inlineStr">
        <is>
          <t>MARKET</t>
        </is>
      </c>
    </row>
    <row r="20">
      <c r="A20" t="inlineStr">
        <is>
          <t>UK indoor pools (addressable)</t>
        </is>
      </c>
      <c r="B20" t="inlineStr">
        <is>
          <t>~30,000–50,000</t>
        </is>
      </c>
    </row>
    <row r="21">
      <c r="A21" t="inlineStr">
        <is>
          <t>Channel</t>
        </is>
      </c>
      <c r="B21" t="inlineStr">
        <is>
          <t>SPATA pool installers/servicers</t>
        </is>
      </c>
      <c r="C21" s="21" t="inlineStr">
        <is>
          <t>spata.co.uk</t>
        </is>
      </c>
    </row>
    <row r="22">
      <c r="A22" t="inlineStr">
        <is>
          <t>Incumbent to watch (commercial pools)</t>
        </is>
      </c>
      <c r="B22" t="inlineStr">
        <is>
          <t>Deep Green (£200M, Octopus)</t>
        </is>
      </c>
      <c r="C22" s="21" t="inlineStr">
        <is>
          <t>Data Centre Dynamics</t>
        </is>
      </c>
    </row>
    <row r="24">
      <c r="A24" s="28" t="inlineStr">
        <is>
          <t>Pool economics sources:</t>
        </is>
      </c>
      <c r="B24" s="21" t="inlineStr">
        <is>
          <t>Origin (indoor running cost)</t>
        </is>
      </c>
    </row>
    <row r="25">
      <c r="B25" s="21" t="inlineStr">
        <is>
          <t>Poolstore (heating cost)</t>
        </is>
      </c>
    </row>
    <row r="26">
      <c r="B26" s="21" t="inlineStr">
        <is>
          <t>HeatPumps4Pools (COP, sizing)</t>
        </is>
      </c>
    </row>
  </sheetData>
  <hyperlinks>
    <hyperlink xmlns:r="http://schemas.openxmlformats.org/officeDocument/2006/relationships" ref="C21" r:id="rId1"/>
    <hyperlink xmlns:r="http://schemas.openxmlformats.org/officeDocument/2006/relationships" ref="C22" r:id="rId2"/>
    <hyperlink xmlns:r="http://schemas.openxmlformats.org/officeDocument/2006/relationships" ref="B24" r:id="rId3"/>
    <hyperlink xmlns:r="http://schemas.openxmlformats.org/officeDocument/2006/relationships" ref="B25" r:id="rId4"/>
    <hyperlink xmlns:r="http://schemas.openxmlformats.org/officeDocument/2006/relationships" ref="B2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Payback (years) vs Occupancy — per pool box (selected GPU, full BoM capex, corrected host rate)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3">
      <c r="A3" s="39" t="inlineStr">
        <is>
          <t>Occupancy →</t>
        </is>
      </c>
      <c r="B3" s="40" t="n">
        <v>0.25</v>
      </c>
      <c r="C3" s="40" t="n">
        <v>0.4</v>
      </c>
      <c r="D3" s="40" t="n">
        <v>0.5</v>
      </c>
      <c r="E3" s="40" t="n">
        <v>0.6</v>
      </c>
      <c r="F3" s="40" t="n">
        <v>0.7</v>
      </c>
      <c r="G3" s="40" t="n">
        <v>0.9</v>
      </c>
    </row>
    <row r="4">
      <c r="A4" s="28" t="inlineStr">
        <is>
          <t>Payback (selected GPU)</t>
        </is>
      </c>
      <c r="B4" s="18">
        <f>IF((('Unit Economics'!$B$5*'Unit Economics'!$B$8*0.25*Assumptions!$B$11)-('Unit Economics'!$B$16*Assumptions!$B$11*0.25*(Assumptions!$B$6/100))-Assumptions!$B$9*'Unit Economics'!$B$13-Assumptions!$B$10)&gt;0,'Unit Economics'!$B$13/(('Unit Economics'!$B$5*'Unit Economics'!$B$8*0.25*Assumptions!$B$11)-('Unit Economics'!$B$16*Assumptions!$B$11*0.25*(Assumptions!$B$6/100))-Assumptions!$B$9*'Unit Economics'!$B$13-Assumptions!$B$10),"loss")</f>
        <v/>
      </c>
      <c r="C4" s="18">
        <f>IF((('Unit Economics'!$B$5*'Unit Economics'!$B$8*0.4*Assumptions!$B$11)-('Unit Economics'!$B$16*Assumptions!$B$11*0.4*(Assumptions!$B$6/100))-Assumptions!$B$9*'Unit Economics'!$B$13-Assumptions!$B$10)&gt;0,'Unit Economics'!$B$13/(('Unit Economics'!$B$5*'Unit Economics'!$B$8*0.4*Assumptions!$B$11)-('Unit Economics'!$B$16*Assumptions!$B$11*0.4*(Assumptions!$B$6/100))-Assumptions!$B$9*'Unit Economics'!$B$13-Assumptions!$B$10),"loss")</f>
        <v/>
      </c>
      <c r="D4" s="18">
        <f>IF((('Unit Economics'!$B$5*'Unit Economics'!$B$8*0.5*Assumptions!$B$11)-('Unit Economics'!$B$16*Assumptions!$B$11*0.5*(Assumptions!$B$6/100))-Assumptions!$B$9*'Unit Economics'!$B$13-Assumptions!$B$10)&gt;0,'Unit Economics'!$B$13/(('Unit Economics'!$B$5*'Unit Economics'!$B$8*0.5*Assumptions!$B$11)-('Unit Economics'!$B$16*Assumptions!$B$11*0.5*(Assumptions!$B$6/100))-Assumptions!$B$9*'Unit Economics'!$B$13-Assumptions!$B$10),"loss")</f>
        <v/>
      </c>
      <c r="E4" s="18">
        <f>IF((('Unit Economics'!$B$5*'Unit Economics'!$B$8*0.6*Assumptions!$B$11)-('Unit Economics'!$B$16*Assumptions!$B$11*0.6*(Assumptions!$B$6/100))-Assumptions!$B$9*'Unit Economics'!$B$13-Assumptions!$B$10)&gt;0,'Unit Economics'!$B$13/(('Unit Economics'!$B$5*'Unit Economics'!$B$8*0.6*Assumptions!$B$11)-('Unit Economics'!$B$16*Assumptions!$B$11*0.6*(Assumptions!$B$6/100))-Assumptions!$B$9*'Unit Economics'!$B$13-Assumptions!$B$10),"loss")</f>
        <v/>
      </c>
      <c r="F4" s="18">
        <f>IF((('Unit Economics'!$B$5*'Unit Economics'!$B$8*0.7*Assumptions!$B$11)-('Unit Economics'!$B$16*Assumptions!$B$11*0.7*(Assumptions!$B$6/100))-Assumptions!$B$9*'Unit Economics'!$B$13-Assumptions!$B$10)&gt;0,'Unit Economics'!$B$13/(('Unit Economics'!$B$5*'Unit Economics'!$B$8*0.7*Assumptions!$B$11)-('Unit Economics'!$B$16*Assumptions!$B$11*0.7*(Assumptions!$B$6/100))-Assumptions!$B$9*'Unit Economics'!$B$13-Assumptions!$B$10),"loss")</f>
        <v/>
      </c>
      <c r="G4" s="18">
        <f>IF((('Unit Economics'!$B$5*'Unit Economics'!$B$8*0.9*Assumptions!$B$11)-('Unit Economics'!$B$16*Assumptions!$B$11*0.9*(Assumptions!$B$6/100))-Assumptions!$B$9*'Unit Economics'!$B$13-Assumptions!$B$10)&gt;0,'Unit Economics'!$B$13/(('Unit Economics'!$B$5*'Unit Economics'!$B$8*0.9*Assumptions!$B$11)-('Unit Economics'!$B$16*Assumptions!$B$11*0.9*(Assumptions!$B$6/100))-Assumptions!$B$9*'Unit Economics'!$B$13-Assumptions!$B$10),"loss")</f>
        <v/>
      </c>
    </row>
    <row r="6" ht="28" customHeight="1">
      <c r="A6" s="22" t="inlineStr">
        <is>
          <t>Occupancy is the number to MEASURE with one real box before scaling. Below ~50% the best card still misses a 2-year payback — Phase 2 token-serving is what lifts occupancy (and stabilises the heat).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Fleet Build — pools over 5 years (uses per-pool capex &amp; net from Pool Model)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3">
      <c r="A3" s="39" t="inlineStr">
        <is>
          <t>Year</t>
        </is>
      </c>
      <c r="B3" s="23" t="inlineStr">
        <is>
          <t>Y1</t>
        </is>
      </c>
      <c r="C3" s="23" t="inlineStr">
        <is>
          <t>Y2</t>
        </is>
      </c>
      <c r="D3" s="23" t="inlineStr">
        <is>
          <t>Y3</t>
        </is>
      </c>
      <c r="E3" s="23" t="inlineStr">
        <is>
          <t>Y4</t>
        </is>
      </c>
      <c r="F3" s="23" t="inlineStr">
        <is>
          <t>Y5</t>
        </is>
      </c>
    </row>
    <row r="4">
      <c r="A4" t="inlineStr">
        <is>
          <t>Pools added (input)</t>
        </is>
      </c>
      <c r="B4" s="9" t="n">
        <v>1</v>
      </c>
      <c r="C4" s="9" t="n">
        <v>3</v>
      </c>
      <c r="D4" s="9" t="n">
        <v>10</v>
      </c>
      <c r="E4" s="9" t="n">
        <v>25</v>
      </c>
      <c r="F4" s="9" t="n">
        <v>60</v>
      </c>
    </row>
    <row r="5">
      <c r="A5" t="inlineStr">
        <is>
          <t>Cumulative pools</t>
        </is>
      </c>
      <c r="B5">
        <f>B4</f>
        <v/>
      </c>
      <c r="C5">
        <f>B5+C4</f>
        <v/>
      </c>
      <c r="D5">
        <f>C5+D4</f>
        <v/>
      </c>
      <c r="E5">
        <f>D5+E4</f>
        <v/>
      </c>
      <c r="F5">
        <f>E5+F4</f>
        <v/>
      </c>
    </row>
    <row r="6">
      <c r="A6" t="inlineStr">
        <is>
          <t>Capex this year (£)</t>
        </is>
      </c>
      <c r="B6" s="35">
        <f>B4*'Pool Model'!$B$15</f>
        <v/>
      </c>
      <c r="C6" s="35">
        <f>C4*'Pool Model'!$B$15</f>
        <v/>
      </c>
      <c r="D6" s="35">
        <f>D4*'Pool Model'!$B$15</f>
        <v/>
      </c>
      <c r="E6" s="35">
        <f>E4*'Pool Model'!$B$15</f>
        <v/>
      </c>
      <c r="F6" s="35">
        <f>F4*'Pool Model'!$B$15</f>
        <v/>
      </c>
    </row>
    <row r="7">
      <c r="A7" t="inlineStr">
        <is>
          <t>Net profit (£/yr, cumulative)</t>
        </is>
      </c>
      <c r="B7" s="35">
        <f>B5*'Pool Model'!$B$16</f>
        <v/>
      </c>
      <c r="C7" s="35">
        <f>C5*'Pool Model'!$B$16</f>
        <v/>
      </c>
      <c r="D7" s="35">
        <f>D5*'Pool Model'!$B$16</f>
        <v/>
      </c>
      <c r="E7" s="35">
        <f>E5*'Pool Model'!$B$16</f>
        <v/>
      </c>
      <c r="F7" s="35">
        <f>F5*'Pool Model'!$B$16</f>
        <v/>
      </c>
    </row>
    <row r="8">
      <c r="A8" t="inlineStr">
        <is>
          <t>Annual cashflow (net − capex)</t>
        </is>
      </c>
      <c r="B8" s="41">
        <f>B7-B6</f>
        <v/>
      </c>
      <c r="C8" s="41">
        <f>C7-C6</f>
        <v/>
      </c>
      <c r="D8" s="41">
        <f>D7-D6</f>
        <v/>
      </c>
      <c r="E8" s="41">
        <f>E7-E6</f>
        <v/>
      </c>
      <c r="F8" s="41">
        <f>F7-F6</f>
        <v/>
      </c>
    </row>
    <row r="9">
      <c r="A9" t="inlineStr">
        <is>
          <t>Cumulative cashflow (£)</t>
        </is>
      </c>
      <c r="B9" s="16">
        <f>B8</f>
        <v/>
      </c>
      <c r="C9" s="16">
        <f>B9+C8</f>
        <v/>
      </c>
      <c r="D9" s="16">
        <f>C9+D8</f>
        <v/>
      </c>
      <c r="E9" s="16">
        <f>D9+E8</f>
        <v/>
      </c>
      <c r="F9" s="16">
        <f>E9+F8</f>
        <v/>
      </c>
    </row>
    <row r="11">
      <c r="A11" s="3" t="inlineStr">
        <is>
          <t>Capex is front-loaded — cumulative cash dips negative before it turns. Pace deployment to your cash.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2" customWidth="1" min="2" max="2"/>
  </cols>
  <sheetData>
    <row r="1">
      <c r="A1" s="1" t="inlineStr">
        <is>
          <t>Sources &amp; Notes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3">
      <c r="A3" s="42" t="inlineStr">
        <is>
          <t>REVENUE — host payout maths (the correction)</t>
        </is>
      </c>
    </row>
    <row r="4">
      <c r="A4" t="inlineStr">
        <is>
          <t>Vast.ai host fee removed; renter premium added</t>
        </is>
      </c>
      <c r="B4" s="21" t="inlineStr">
        <is>
          <t>https://vast.ai/article/june-2024-product-update</t>
        </is>
      </c>
    </row>
    <row r="5">
      <c r="A5" t="inlineStr">
        <is>
          <t>Vast.ai: live prices ~25% above host earnings</t>
        </is>
      </c>
      <c r="B5" s="21" t="inlineStr">
        <is>
          <t>https://vast.ai/article/how-much-money-can-you-earn-renting-out-your-gpu-on-vast-ai</t>
        </is>
      </c>
    </row>
    <row r="6">
      <c r="A6" t="inlineStr">
        <is>
          <t>Vast.ai per-GPU rates</t>
        </is>
      </c>
      <c r="B6" s="21" t="inlineStr">
        <is>
          <t>https://vast.ai/pricing/gpu/RTX-4090</t>
        </is>
      </c>
    </row>
    <row r="7">
      <c r="A7" t="inlineStr">
        <is>
          <t>Multi-provider rate tracker</t>
        </is>
      </c>
      <c r="B7" s="21" t="inlineStr">
        <is>
          <t>https://computeprices.com/providers/vast</t>
        </is>
      </c>
    </row>
    <row r="8">
      <c r="A8" t="inlineStr">
        <is>
          <t>GPU prices (used/new, UK)</t>
        </is>
      </c>
      <c r="B8" s="21" t="inlineStr">
        <is>
          <t>https://bestvaluegpu.com/en-gb/</t>
        </is>
      </c>
    </row>
    <row r="9">
      <c r="A9" t="inlineStr">
        <is>
          <t>Inference tok/s (Llama-3.1-8B)</t>
        </is>
      </c>
      <c r="B9" s="21" t="inlineStr">
        <is>
          <t>https://www.localscore.ai/model/1</t>
        </is>
      </c>
    </row>
    <row r="10">
      <c r="A10" t="inlineStr">
        <is>
          <t>OpenRouter provider fee (0% from providers)</t>
        </is>
      </c>
      <c r="B10" s="21" t="inlineStr">
        <is>
          <t>https://openrouter.ai/announcements/simplifying-our-platform-fee</t>
        </is>
      </c>
    </row>
    <row r="11">
      <c r="A11" s="42" t="inlineStr">
        <is>
          <t>ELECTRICITY</t>
        </is>
      </c>
    </row>
    <row r="12">
      <c r="A12" t="inlineStr">
        <is>
          <t>Ofgem price cap (24.67p Q2 2026)</t>
        </is>
      </c>
      <c r="B12" s="21" t="inlineStr">
        <is>
          <t>https://www.ofgem.gov.uk/information-consumers/energy-advice-households/energy-price-cap-unit-rates-and-standing-charges</t>
        </is>
      </c>
    </row>
    <row r="13">
      <c r="A13" t="inlineStr">
        <is>
          <t>Octopus Agile (~16p, time-shift)</t>
        </is>
      </c>
      <c r="B13" s="21" t="inlineStr">
        <is>
          <t>https://agileprices.co.uk/</t>
        </is>
      </c>
    </row>
    <row r="14">
      <c r="A14" t="inlineStr">
        <is>
          <t>Pay-the-host mechanism (Heata)</t>
        </is>
      </c>
      <c r="B14" s="21" t="inlineStr">
        <is>
          <t>https://www.heata.co/hosts/sign-up</t>
        </is>
      </c>
    </row>
    <row r="15">
      <c r="A15" t="inlineStr">
        <is>
          <t>MID submeter</t>
        </is>
      </c>
      <c r="B15" s="21" t="inlineStr">
        <is>
          <t>https://tewltd.co.uk/product/pjw-mid-approved-100a-din-rail-single-phase-kwh-meter-dr2100-2mod/</t>
        </is>
      </c>
    </row>
    <row r="16">
      <c r="A16" s="42" t="inlineStr">
        <is>
          <t>CAPITAL (box components)</t>
        </is>
      </c>
    </row>
    <row r="17">
      <c r="A17" t="inlineStr">
        <is>
          <t>Chassis / PSU</t>
        </is>
      </c>
      <c r="B17" s="21" t="inlineStr">
        <is>
          <t>https://www.scan.co.uk/</t>
        </is>
      </c>
    </row>
    <row r="18">
      <c r="A18" t="inlineStr">
        <is>
          <t>GPU water blocks</t>
        </is>
      </c>
      <c r="B18" s="21" t="inlineStr">
        <is>
          <t>https://www.ekwb.com/shop/ek-quantum-vector-rtx-3080-3090-d-rgb-nickel-acetal</t>
        </is>
      </c>
    </row>
    <row r="19">
      <c r="A19" t="inlineStr">
        <is>
          <t>Brazed-plate heat exchanger</t>
        </is>
      </c>
      <c r="B19" s="21" t="inlineStr">
        <is>
          <t>https://www.heat-exchangers.uk/pricelist/</t>
        </is>
      </c>
    </row>
    <row r="20">
      <c r="A20" t="inlineStr">
        <is>
          <t>Pump / coolant</t>
        </is>
      </c>
      <c r="B20" s="21" t="inlineStr">
        <is>
          <t>https://www.watercoolinguk.co.uk/</t>
        </is>
      </c>
    </row>
    <row r="21">
      <c r="A21" s="42" t="inlineStr">
        <is>
          <t>POOL + CHANNEL</t>
        </is>
      </c>
    </row>
    <row r="22">
      <c r="A22" t="inlineStr">
        <is>
          <t>Indoor pool running cost</t>
        </is>
      </c>
      <c r="B22" s="21" t="inlineStr">
        <is>
          <t>https://www.originpools.co.uk/pools/indoor-pools/advice/cost-guides/how-much-does-it-cost-to-run-an-indoor-pool</t>
        </is>
      </c>
    </row>
    <row r="23">
      <c r="A23" t="inlineStr">
        <is>
          <t>Pool heat pump COP / sizing</t>
        </is>
      </c>
      <c r="B23" s="21" t="inlineStr">
        <is>
          <t>https://heatpumps4pools.com/frequently-asked-questions-for-swimming-pool-heat-pumps/</t>
        </is>
      </c>
    </row>
    <row r="24">
      <c r="A24" t="inlineStr">
        <is>
          <t>SPATA installer trade body</t>
        </is>
      </c>
      <c r="B24" s="21" t="inlineStr">
        <is>
          <t>https://www.spata.co.uk/</t>
        </is>
      </c>
    </row>
    <row r="25">
      <c r="A25" t="inlineStr">
        <is>
          <t>Deep Green (pool incumbent)</t>
        </is>
      </c>
      <c r="B25" s="21" t="inlineStr">
        <is>
          <t>https://www.datacenterdynamics.com/en/news/uk-data-center-startup-offers-to-heat-britains-swimming-pools-with-waste-heat/</t>
        </is>
      </c>
    </row>
    <row r="26">
      <c r="A26" t="inlineStr"/>
    </row>
    <row r="27">
      <c r="A27" s="42" t="inlineStr">
        <is>
          <t>HONEST HEADLINES</t>
        </is>
      </c>
    </row>
    <row r="28">
      <c r="A28" t="inlineStr">
        <is>
          <t>• Host rate corrected: you receive Renter $/hr ÷ 1.25 ÷ 1.27 — earlier drafts ran ~25% hot.</t>
        </is>
      </c>
    </row>
    <row r="29">
      <c r="A29" t="inlineStr">
        <is>
          <t>• Occupancy is the make-or-break and is UNMEASURED for home GPUs — measure it with one box.</t>
        </is>
      </c>
    </row>
    <row r="30">
      <c r="A30" t="inlineStr">
        <is>
          <t>• VRAM gates demand: ≥24GB cards earn; sub-16GB sit idle and lose money after electricity.</t>
        </is>
      </c>
    </row>
    <row r="31">
      <c r="A31" t="inlineStr">
        <is>
          <t>• Best for THIS business: RTX 4090 / 5090 (earn AND make real heat). 3090 pays back too slowly.</t>
        </is>
      </c>
    </row>
    <row r="32">
      <c r="A32" t="inlineStr">
        <is>
          <t>• Heat recovery is REQUIRED — it is the host's free heat (the reason they host), and a cost to you.</t>
        </is>
      </c>
    </row>
    <row r="33">
      <c r="A33" t="inlineStr">
        <is>
          <t>• Prices move fast — re-verify before committing capital.</t>
        </is>
      </c>
    </row>
  </sheetData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7" r:id="rId12"/>
    <hyperlink xmlns:r="http://schemas.openxmlformats.org/officeDocument/2006/relationships" ref="B18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2" r:id="rId16"/>
    <hyperlink xmlns:r="http://schemas.openxmlformats.org/officeDocument/2006/relationships" ref="B23" r:id="rId17"/>
    <hyperlink xmlns:r="http://schemas.openxmlformats.org/officeDocument/2006/relationships" ref="B24" r:id="rId18"/>
    <hyperlink xmlns:r="http://schemas.openxmlformats.org/officeDocument/2006/relationships" ref="B25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2026-06-07T16:24:31Z</dcterms:created>
  <dcterms:modified xmlns:dcterms="http://purl.org/dc/terms/" xmlns:xsi="http://www.w3.org/2001/XMLSchema-instance" xsi:type="dcterms:W3CDTF">2026-06-07T16:24:31Z</dcterms:modified>
</cp:coreProperties>
</file>